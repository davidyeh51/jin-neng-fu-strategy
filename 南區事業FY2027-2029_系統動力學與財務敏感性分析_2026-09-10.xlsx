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fc02f923b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332fc38b5f664708"/>
    <x:sheet xmlns:r="http://schemas.openxmlformats.org/officeDocument/2006/relationships" name="參數" sheetId="2" r:id="R2f5d8e47903d47c9"/>
    <x:sheet xmlns:r="http://schemas.openxmlformats.org/officeDocument/2006/relationships" name="三年模型" sheetId="3" r:id="R56313e5b431a443e"/>
    <x:sheet xmlns:r="http://schemas.openxmlformats.org/officeDocument/2006/relationships" name="單因子敏感性" sheetId="4" r:id="R8a0b610532fe41f4"/>
    <x:sheet xmlns:r="http://schemas.openxmlformats.org/officeDocument/2006/relationships" name="雙因子敏感性" sheetId="5" r:id="R65e5e89904e1440f"/>
    <x:sheet xmlns:r="http://schemas.openxmlformats.org/officeDocument/2006/relationships" name="系統動力學" sheetId="6" r:id="R2de8f4d04e9e46cd"/>
    <x:sheet xmlns:r="http://schemas.openxmlformats.org/officeDocument/2006/relationships" name="來源" sheetId="7" r:id="Rc023147ff332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;(#,##0.000);&quot;-&quot;"/>
    <x:numFmt numFmtId="201" formatCode="0.0%;(0.0%);&quot;-&quot;"/>
    <x:numFmt numFmtId="202" formatCode="0.00&quot;x&quot;"/>
    <x:numFmt numFmtId="203" formatCode="#,##0"/>
  </x:numFmts>
  <x:fonts count="8">
    <x:font>
      <x:sz val="11"/>
      <x:name val="Carlito"/>
    </x:font>
    <x:font>
      <x:sz val="11"/>
      <x:color rgb="FF18354A"/>
      <x:name val="Arial"/>
    </x:font>
    <x:font>
      <x:b/>
      <x:sz val="17"/>
      <x:color rgb="FF18354A"/>
      <x:name val="Arial"/>
    </x:font>
    <x:font>
      <x:sz val="10"/>
      <x:color rgb="FF637381"/>
      <x:name val="Arial"/>
    </x:font>
    <x:font>
      <x:b/>
      <x:sz val="11"/>
      <x:color rgb="FFFFFFFF"/>
      <x:name val="Arial"/>
    </x:font>
    <x:font>
      <x:sz val="11"/>
      <x:color rgb="FF1565C0"/>
      <x:name val="Arial"/>
    </x:font>
    <x:font>
      <x:sz val="11"/>
      <x:color rgb="FF637381"/>
      <x:name val="Arial"/>
    </x:font>
    <x:font>
      <x:b/>
      <x:sz val="11"/>
      <x:color rgb="FF1835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FFF1CC"/>
      </x:patternFill>
    </x:fill>
    <x:fill>
      <x:patternFill patternType="solid">
        <x:fgColor rgb="FFEAF2F8"/>
      </x:patternFill>
    </x:fill>
  </x:fills>
  <x:borders count="2">
    <x:border/>
    <x:border>
      <x:top style="thin">
        <x:color rgb="FFB8C8D4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200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5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C2424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7d0de08114627" /><Relationship Type="http://schemas.openxmlformats.org/officeDocument/2006/relationships/theme" Target="/xl/theme/theme1.xml" Id="Rade0492027ae44a2" /><Relationship Type="http://schemas.openxmlformats.org/officeDocument/2006/relationships/sharedStrings" Target="/xl/sharedStrings.xml" Id="R7a48bd3360354496" /><Relationship Type="http://schemas.openxmlformats.org/officeDocument/2006/relationships/worksheet" Target="/xl/worksheets/sheet1.xml" Id="R332fc38b5f664708" /><Relationship Type="http://schemas.openxmlformats.org/officeDocument/2006/relationships/worksheet" Target="/xl/worksheets/sheet2.xml" Id="R2f5d8e47903d47c9" /><Relationship Type="http://schemas.openxmlformats.org/officeDocument/2006/relationships/worksheet" Target="/xl/worksheets/sheet3.xml" Id="R56313e5b431a443e" /><Relationship Type="http://schemas.openxmlformats.org/officeDocument/2006/relationships/worksheet" Target="/xl/worksheets/sheet4.xml" Id="R8a0b610532fe41f4" /><Relationship Type="http://schemas.openxmlformats.org/officeDocument/2006/relationships/worksheet" Target="/xl/worksheets/sheet5.xml" Id="R65e5e89904e1440f" /><Relationship Type="http://schemas.openxmlformats.org/officeDocument/2006/relationships/worksheet" Target="/xl/worksheets/sheet6.xml" Id="R2de8f4d04e9e46cd" /><Relationship Type="http://schemas.openxmlformats.org/officeDocument/2006/relationships/worksheet" Target="/xl/worksheets/sheet7.xml" Id="Rc023147ff3324d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dad9ce058f45e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e8057967c9d4f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三年營收與期末訂單（億元）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營業收入</c:v>
          </c:tx>
          <c:marker>
            <c:symbol val="none"/>
          </c:marker>
          <c:cat>
            <c:strRef>
              <c:f>'總覽'!$A$45:$A$47</c:f>
              <c:strCache>
                <c:ptCount val="0"/>
              </c:strCache>
            </c:strRef>
          </c:cat>
          <c:val>
            <c:numRef>
              <c:f>'總覽'!$B$45:$B$47</c:f>
              <c:numCache>
                <c:formatCode>#,##0.000;(#,##0.000);"-"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期末在手訂單</c:v>
          </c:tx>
          <c:marker>
            <c:symbol val="none"/>
          </c:marker>
          <c:cat>
            <c:strRef>
              <c:f>'總覽'!$A$45:$A$47</c:f>
              <c:strCache>
                <c:ptCount val="0"/>
              </c:strCache>
            </c:strRef>
          </c:cat>
          <c:val>
            <c:numRef>
              <c:f>'總覽'!$D$45:$D$47</c:f>
              <c:numCache>
                <c:formatCode>#,##0.000;(#,##0.000);"-"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FY2027淨利敏感程度前六項（億元）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低端淨利差</c:v>
          </c:tx>
          <c:spPr>
            <a:solidFill xmlns:a="http://schemas.openxmlformats.org/drawingml/2006/main">
              <a:srgbClr val="C67564"/>
            </a:solidFill>
          </c:spPr>
          <c:cat>
            <c:strRef>
              <c:f>'單因子敏感性'!$A$129:$A$134</c:f>
              <c:strCache>
                <c:ptCount val="0"/>
              </c:strCache>
            </c:strRef>
          </c:cat>
          <c:val>
            <c:numRef>
              <c:f>'單因子敏感性'!$B$129:$B$134</c:f>
              <c:numCache>
                <c:formatCode>#,##0.000;(#,##0.000);"-"</c:formatCode>
                <c:ptCount val="0"/>
              </c:numCache>
            </c:numRef>
          </c:val>
        </c:ser>
        <c:ser>
          <c:idx val="1"/>
          <c:order val="1"/>
          <c:tx>
            <c:v>高端淨利差</c:v>
          </c:tx>
          <c:spPr>
            <a:solidFill xmlns:a="http://schemas.openxmlformats.org/drawingml/2006/main">
              <a:srgbClr val="397DA3"/>
            </a:solidFill>
          </c:spPr>
          <c:cat>
            <c:strRef>
              <c:f>'單因子敏感性'!$A$129:$A$134</c:f>
              <c:strCache>
                <c:ptCount val="0"/>
              </c:strCache>
            </c:strRef>
          </c:cat>
          <c:val>
            <c:numRef>
              <c:f>'單因子敏感性'!$C$129:$C$134</c:f>
              <c:numCache>
                <c:formatCode>#,##0.000;(#,##0.000);"-"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dad9ce058f45e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8057967c9d4f1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ba8af68a8b40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9c89fc72e8d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3" hidden="0" customWidth="1"/>
  </x:cols>
  <x:sheetData>
    <x:row r="1" ht="32" customHeight="1">
      <x:c r="A1" s="3" t="str">
        <x:v>南區事業財務敏感性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FY2027–FY2029，新臺幣億元；先改「參數」，再看損益與敏感性。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7" t="str">
        <x:v>目前模型結果</x:v>
      </x:c>
      <x:c r="B4" s="7" t="str">
        <x:v>單位</x:v>
      </x:c>
      <x:c r="C4" s="7" t="str">
        <x:v>FY2027</x:v>
      </x:c>
      <x:c r="D4" s="7" t="str">
        <x:v>FY2028</x:v>
      </x:c>
      <x:c r="E4" s="7" t="str">
        <x:v>FY2029</x:v>
      </x:c>
      <x:c r="F4" s="2"/>
      <x:c r="G4" s="7" t="str">
        <x:v>使用順序</x:v>
      </x:c>
      <x:c r="H4" s="7" t="str">
        <x:v>操作</x:v>
      </x:c>
    </x:row>
    <x:row r="5" ht="43" customHeight="1">
      <x:c r="A5" s="2" t="str">
        <x:v>簽約總額</x:v>
      </x:c>
      <x:c r="B5" s="2" t="str">
        <x:v>億元</x:v>
      </x:c>
      <x:c r="C5" s="11" t="n">
        <x:f>'三年模型'!C14</x:f>
        <x:v>20</x:v>
      </x:c>
      <x:c r="D5" s="11" t="n">
        <x:f>'三年模型'!D14</x:f>
        <x:v>26</x:v>
      </x:c>
      <x:c r="E5" s="11" t="n">
        <x:f>'三年模型'!E14</x:f>
        <x:v>32</x:v>
      </x:c>
      <x:c r="F5" s="2"/>
      <x:c r="G5" s="12" t="str">
        <x:v>1 參數</x:v>
      </x:c>
      <x:c r="H5" s="12" t="str">
        <x:v>黃色格可分年度調整；保留公式格。</x:v>
      </x:c>
    </x:row>
    <x:row r="6" ht="43" customHeight="1">
      <x:c r="A6" s="20" t="str">
        <x:v>營業收入</x:v>
      </x:c>
      <x:c r="B6" s="20" t="str">
        <x:v>億元</x:v>
      </x:c>
      <x:c r="C6" s="21" t="n">
        <x:f>'三年模型'!C38</x:f>
        <x:v>10</x:v>
      </x:c>
      <x:c r="D6" s="21" t="n">
        <x:f>'三年模型'!D38</x:f>
        <x:v>18</x:v>
      </x:c>
      <x:c r="E6" s="21" t="n">
        <x:f>'三年模型'!E38</x:f>
        <x:v>25</x:v>
      </x:c>
      <x:c r="F6" s="2"/>
      <x:c r="G6" s="12" t="str">
        <x:v>2 總覽</x:v>
      </x:c>
      <x:c r="H6" s="12" t="str">
        <x:v>查看簽約、營收、淨利、在手訂單及借款。</x:v>
      </x:c>
    </x:row>
    <x:row r="7" ht="43" customHeight="1">
      <x:c r="A7" s="2" t="str">
        <x:v>營業毛利</x:v>
      </x:c>
      <x:c r="B7" s="2" t="str">
        <x:v>億元</x:v>
      </x:c>
      <x:c r="C7" s="11" t="n">
        <x:f>'三年模型'!C47</x:f>
        <x:v>1.5600000000000005</x:v>
      </x:c>
      <x:c r="D7" s="11" t="n">
        <x:f>'三年模型'!D47</x:f>
        <x:v>2.8279999999999994</x:v>
      </x:c>
      <x:c r="E7" s="11" t="n">
        <x:f>'三年模型'!E47</x:f>
        <x:v>3.936</x:v>
      </x:c>
      <x:c r="F7" s="2"/>
      <x:c r="G7" s="12" t="str">
        <x:v>3 單因子</x:v>
      </x:c>
      <x:c r="H7" s="12" t="str">
        <x:v>19項端點可改；淨利差相對目前FY27。</x:v>
      </x:c>
    </x:row>
    <x:row r="8" ht="43" customHeight="1">
      <x:c r="A8" s="2" t="str">
        <x:v>毛利率</x:v>
      </x:c>
      <x:c r="B8" s="2" t="str">
        <x:v>%</x:v>
      </x:c>
      <x:c r="C8" s="14" t="n">
        <x:f>'三年模型'!C48</x:f>
        <x:v>0.15600000000000006</x:v>
      </x:c>
      <x:c r="D8" s="14" t="n">
        <x:f>'三年模型'!D48</x:f>
        <x:v>0.1571111111111111</x:v>
      </x:c>
      <x:c r="E8" s="14" t="n">
        <x:f>'三年模型'!E48</x:f>
        <x:v>0.15744</x:v>
      </x:c>
      <x:c r="F8" s="2"/>
      <x:c r="G8" s="12" t="str">
        <x:v>4 雙因子</x:v>
      </x:c>
      <x:c r="H8" s="12" t="str">
        <x:v>修改產能倍率與毛利變動，檢視組合結果。</x:v>
      </x:c>
    </x:row>
    <x:row r="9" ht="43" customHeight="1">
      <x:c r="A9" s="2" t="str">
        <x:v>營業費用合計</x:v>
      </x:c>
      <x:c r="B9" s="2" t="str">
        <x:v>億元</x:v>
      </x:c>
      <x:c r="C9" s="11" t="n">
        <x:f>'三年模型'!C51</x:f>
        <x:v>0.45</x:v>
      </x:c>
      <x:c r="D9" s="11" t="n">
        <x:f>'三年模型'!D51</x:f>
        <x:v>0.6</x:v>
      </x:c>
      <x:c r="E9" s="11" t="n">
        <x:f>'三年模型'!E51</x:f>
        <x:v>0.8</x:v>
      </x:c>
      <x:c r="F9" s="2"/>
      <x:c r="G9" s="12" t="str">
        <x:v>5 三年模型</x:v>
      </x:c>
      <x:c r="H9" s="12" t="str">
        <x:v>查看存量結轉及底部輸入／平衡檢查。</x:v>
      </x:c>
    </x:row>
    <x:row r="10" ht="43" customHeight="1">
      <x:c r="A10" s="2" t="str">
        <x:v>營業利益</x:v>
      </x:c>
      <x:c r="B10" s="2" t="str">
        <x:v>億元</x:v>
      </x:c>
      <x:c r="C10" s="11" t="n">
        <x:f>'三年模型'!C52</x:f>
        <x:v>1.1100000000000005</x:v>
      </x:c>
      <x:c r="D10" s="11" t="n">
        <x:f>'三年模型'!D52</x:f>
        <x:v>2.2279999999999993</x:v>
      </x:c>
      <x:c r="E10" s="11" t="n">
        <x:f>'三年模型'!E52</x:f>
        <x:v>3.136</x:v>
      </x:c>
      <x:c r="F10" s="2"/>
      <x:c r="G10" s="12" t="str">
        <x:v>6 方法與來源</x:v>
      </x:c>
      <x:c r="H10" s="12" t="str">
        <x:v>理解時滯、回饋與新增假設限制。</x:v>
      </x:c>
    </x:row>
    <x:row r="11" ht="24" customHeight="1">
      <x:c r="A11" s="2" t="str">
        <x:v>利息費用</x:v>
      </x:c>
      <x:c r="B11" s="2" t="str">
        <x:v>億元</x:v>
      </x:c>
      <x:c r="C11" s="11" t="n">
        <x:f>'三年模型'!C57</x:f>
        <x:v>0.001567123287671226</x:v>
      </x:c>
      <x:c r="D11" s="11" t="n">
        <x:f>'三年模型'!D57</x:f>
        <x:v>0.011426235616438341</x:v>
      </x:c>
      <x:c r="E11" s="11" t="n">
        <x:f>'三年模型'!E57</x:f>
        <x:v>0.016735223583561644</x:v>
      </x:c>
      <x:c r="F11" s="2"/>
      <x:c r="G11" s="2"/>
      <x:c r="H11" s="2"/>
    </x:row>
    <x:row r="12" ht="24" customHeight="1">
      <x:c r="A12" s="20" t="str">
        <x:v>稅後淨利</x:v>
      </x:c>
      <x:c r="B12" s="20" t="str">
        <x:v>億元</x:v>
      </x:c>
      <x:c r="C12" s="21" t="n">
        <x:f>'三年模型'!C61</x:f>
        <x:v>0.9027463013698634</x:v>
      </x:c>
      <x:c r="D12" s="21" t="n">
        <x:f>'三年模型'!D61</x:f>
        <x:v>1.8132590115068485</x:v>
      </x:c>
      <x:c r="E12" s="21" t="n">
        <x:f>'三年模型'!E61</x:f>
        <x:v>2.5594118211331507</x:v>
      </x:c>
      <x:c r="F12" s="2"/>
      <x:c r="G12" s="2" t="str">
        <x:v>模型檢查違規數</x:v>
      </x:c>
      <x:c r="H12" s="2" t="n">
        <x:f>COUNTIF('三年模型'!C72:E81,"&gt;0.000001")+COUNTIF('三年模型'!C72:E81,"&lt;-0.000001")</x:f>
        <x:v>0</x:v>
      </x:c>
    </x:row>
    <x:row r="13" ht="24" customHeight="1">
      <x:c r="A13" s="2" t="str">
        <x:v>淨利率</x:v>
      </x:c>
      <x:c r="B13" s="2" t="str">
        <x:v>%</x:v>
      </x:c>
      <x:c r="C13" s="14" t="n">
        <x:f>'三年模型'!C62</x:f>
        <x:v>0.09027463013698635</x:v>
      </x:c>
      <x:c r="D13" s="14" t="n">
        <x:f>'三年模型'!D62</x:f>
        <x:v>0.10073661175038047</x:v>
      </x:c>
      <x:c r="E13" s="14" t="n">
        <x:f>'三年模型'!E62</x:f>
        <x:v>0.10237647284532603</x:v>
      </x:c>
      <x:c r="F13" s="2"/>
      <x:c r="G13" s="2"/>
      <x:c r="H13" s="2"/>
    </x:row>
    <x:row r="14" ht="63" customHeight="1">
      <x:c r="A14" s="20" t="str">
        <x:v>期末在手訂單合計</x:v>
      </x:c>
      <x:c r="B14" s="20" t="str">
        <x:v>億元</x:v>
      </x:c>
      <x:c r="C14" s="21" t="n">
        <x:f>'三年模型'!C45</x:f>
        <x:v>10</x:v>
      </x:c>
      <x:c r="D14" s="21" t="n">
        <x:f>'三年模型'!D45</x:f>
        <x:v>18</x:v>
      </x:c>
      <x:c r="E14" s="21" t="n">
        <x:f>'三年模型'!E45</x:f>
        <x:v>25</x:v>
      </x:c>
      <x:c r="F14" s="2"/>
      <x:c r="G14" s="12" t="str">
        <x:v>敏感性範圍</x:v>
      </x:c>
      <x:c r="H14" s="12" t="str">
        <x:v>單因子與雙因子僅FY2027；未來年度調整請看三年模型。</x:v>
      </x:c>
    </x:row>
    <x:row r="15" ht="24" customHeight="1">
      <x:c r="A15" s="2" t="str">
        <x:v>期末借款</x:v>
      </x:c>
      <x:c r="B15" s="2" t="str">
        <x:v>億元</x:v>
      </x:c>
      <x:c r="C15" s="11" t="n">
        <x:f>'三年模型'!C55</x:f>
        <x:v>0.0783561643835613</x:v>
      </x:c>
      <x:c r="D15" s="11" t="n">
        <x:f>'三年模型'!D55</x:f>
        <x:v>0.4929556164383557</x:v>
      </x:c>
      <x:c r="E15" s="11" t="n">
        <x:f>'三年模型'!E55</x:f>
        <x:v>0.3438055627397265</x:v>
      </x:c>
      <x:c r="F15" s="2"/>
      <x:c r="G15" s="2"/>
      <x:c r="H15" s="2"/>
    </x:row>
    <x:row r="16" ht="24" customHeight="1">
      <x:c r="A16" s="2" t="str">
        <x:v>期末可投入資金池</x:v>
      </x:c>
      <x:c r="B16" s="2" t="str">
        <x:v>億元</x:v>
      </x:c>
      <x:c r="C16" s="11" t="n">
        <x:f>'三年模型'!C64</x:f>
        <x:v>1.4513731506849317</x:v>
      </x:c>
      <x:c r="D16" s="11" t="n">
        <x:f>'三年模型'!D64</x:f>
        <x:v>2.358002656438356</x:v>
      </x:c>
      <x:c r="E16" s="11" t="n">
        <x:f>'三年模型'!E64</x:f>
        <x:v>3.6377085670049314</x:v>
      </x:c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 t="str">
        <x:v>與網站原計畫比較</x:v>
      </x:c>
      <x:c r="B18" s="2"/>
      <x:c r="C18" s="2"/>
      <x:c r="D18" s="2"/>
      <x:c r="E18" s="2"/>
      <x:c r="F18" s="2"/>
      <x:c r="G18" s="2"/>
      <x:c r="H18" s="2"/>
    </x:row>
    <x:row r="19" ht="34" customHeight="1">
      <x:c r="A19" s="7" t="str">
        <x:v>模型減原計畫</x:v>
      </x:c>
      <x:c r="B19" s="7" t="str">
        <x:v>單位</x:v>
      </x:c>
      <x:c r="C19" s="7" t="str">
        <x:v>FY2027</x:v>
      </x:c>
      <x:c r="D19" s="7" t="str">
        <x:v>FY2028</x:v>
      </x:c>
      <x:c r="E19" s="7" t="str">
        <x:v>FY2029</x:v>
      </x:c>
      <x:c r="F19" s="2"/>
      <x:c r="G19" s="2"/>
      <x:c r="H19" s="2"/>
    </x:row>
    <x:row r="20" ht="24" customHeight="1">
      <x:c r="A20" s="2" t="str">
        <x:v>營業收入差額</x:v>
      </x:c>
      <x:c r="B20" s="2" t="str">
        <x:v>億元</x:v>
      </x:c>
      <x:c r="C20" s="11" t="n">
        <x:f>'三年模型'!C38-'來源'!C6</x:f>
        <x:v>0</x:v>
      </x:c>
      <x:c r="D20" s="11" t="n">
        <x:f>'三年模型'!D38-'來源'!D6</x:f>
        <x:v>-1</x:v>
      </x:c>
      <x:c r="E20" s="11" t="n">
        <x:f>'三年模型'!E38-'來源'!E6</x:f>
        <x:v>-2.8000000000000007</x:v>
      </x:c>
      <x:c r="F20" s="2"/>
      <x:c r="G20" s="2"/>
      <x:c r="H20" s="2"/>
    </x:row>
    <x:row r="21" ht="24" customHeight="1">
      <x:c r="A21" s="2" t="str">
        <x:v>營業毛利差額</x:v>
      </x:c>
      <x:c r="B21" s="2" t="str">
        <x:v>億元</x:v>
      </x:c>
      <x:c r="C21" s="11" t="n">
        <x:f>'三年模型'!C47-'來源'!C7</x:f>
        <x:v>4.440892098500626e-16</x:v>
      </x:c>
      <x:c r="D21" s="11" t="n">
        <x:f>'三年模型'!D47-'來源'!D7</x:f>
        <x:v>-0.1620000000000008</x:v>
      </x:c>
      <x:c r="E21" s="11" t="n">
        <x:f>'三年模型'!E47-'來源'!E7</x:f>
        <x:v>-0.44399999999999995</x:v>
      </x:c>
      <x:c r="F21" s="2"/>
      <x:c r="G21" s="2"/>
      <x:c r="H21" s="2"/>
    </x:row>
    <x:row r="22" ht="24" customHeight="1">
      <x:c r="A22" s="2" t="str">
        <x:v>稅後淨利差額</x:v>
      </x:c>
      <x:c r="B22" s="2" t="str">
        <x:v>億元</x:v>
      </x:c>
      <x:c r="C22" s="11" t="n">
        <x:f>'三年模型'!C61-'來源'!C11</x:f>
        <x:v>0.002746301369863424</x:v>
      </x:c>
      <x:c r="D22" s="11" t="n">
        <x:f>'三年模型'!D61-'來源'!D11</x:f>
        <x:v>-0.13674098849315142</x:v>
      </x:c>
      <x:c r="E22" s="11" t="n">
        <x:f>'三年模型'!E61-'來源'!E11</x:f>
        <x:v>-0.37058817886684947</x:v>
      </x:c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33" customHeight="1">
      <x:c r="A24" s="15" t="str">
        <x:v>FY27基準約0.903億元淨利，按原表精度為0.90億；差異來自新增借款利息及來源四捨五入。</x:v>
      </x:c>
      <x:c r="B24" s="15"/>
      <x:c r="C24" s="15"/>
      <x:c r="D24" s="15"/>
      <x:c r="E24" s="15"/>
      <x:c r="F24" s="15"/>
      <x:c r="G24" s="15"/>
      <x:c r="H24" s="15"/>
    </x:row>
    <x:row r="25" ht="33" customHeight="1">
      <x:c r="A25" s="15" t="str">
        <x:v>FY28–29為動態推演，不強行重現網站損益；AIDC期初50%釋放與跨年存量造成營收差異。</x:v>
      </x:c>
      <x:c r="B25" s="15"/>
      <x:c r="C25" s="15"/>
      <x:c r="D25" s="15"/>
      <x:c r="E25" s="15"/>
      <x:c r="F25" s="15"/>
      <x:c r="G25" s="15"/>
      <x:c r="H25" s="15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34" customHeight="1">
      <x:c r="A44" s="7" t="str">
        <x:v>年度</x:v>
      </x:c>
      <x:c r="B44" s="7" t="str">
        <x:v>營業收入</x:v>
      </x:c>
      <x:c r="C44" s="7" t="str">
        <x:v>稅後淨利</x:v>
      </x:c>
      <x:c r="D44" s="7" t="str">
        <x:v>期末在手訂單</x:v>
      </x:c>
      <x:c r="E44" s="2"/>
      <x:c r="F44" s="2"/>
      <x:c r="G44" s="2"/>
      <x:c r="H44" s="2"/>
    </x:row>
    <x:row r="45" ht="24" customHeight="1">
      <x:c r="A45" s="2" t="str">
        <x:v>FY2027</x:v>
      </x:c>
      <x:c r="B45" s="11" t="n">
        <x:f>'三年模型'!C38</x:f>
        <x:v>10</x:v>
      </x:c>
      <x:c r="C45" s="11" t="n">
        <x:f>'三年模型'!C61</x:f>
        <x:v>0.9027463013698634</x:v>
      </x:c>
      <x:c r="D45" s="11" t="n">
        <x:f>'三年模型'!C45</x:f>
        <x:v>10</x:v>
      </x:c>
      <x:c r="E45" s="2"/>
      <x:c r="F45" s="2"/>
      <x:c r="G45" s="2"/>
      <x:c r="H45" s="2"/>
    </x:row>
    <x:row r="46" ht="24" customHeight="1">
      <x:c r="A46" s="2" t="str">
        <x:v>FY2028</x:v>
      </x:c>
      <x:c r="B46" s="11" t="n">
        <x:f>'三年模型'!D38</x:f>
        <x:v>18</x:v>
      </x:c>
      <x:c r="C46" s="11" t="n">
        <x:f>'三年模型'!D61</x:f>
        <x:v>1.8132590115068485</x:v>
      </x:c>
      <x:c r="D46" s="11" t="n">
        <x:f>'三年模型'!D45</x:f>
        <x:v>18</x:v>
      </x:c>
      <x:c r="E46" s="2"/>
      <x:c r="F46" s="2"/>
      <x:c r="G46" s="2"/>
      <x:c r="H46" s="2"/>
    </x:row>
    <x:row r="47" ht="24" customHeight="1">
      <x:c r="A47" s="2" t="str">
        <x:v>FY2029</x:v>
      </x:c>
      <x:c r="B47" s="11" t="n">
        <x:f>'三年模型'!E38</x:f>
        <x:v>25</x:v>
      </x:c>
      <x:c r="C47" s="11" t="n">
        <x:f>'三年模型'!E61</x:f>
        <x:v>2.5594118211331507</x:v>
      </x:c>
      <x:c r="D47" s="11" t="n">
        <x:f>'三年模型'!E45</x:f>
        <x:v>25</x:v>
      </x:c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</x:sheetData>
  <x:mergeCells>
    <x:mergeCell ref="A24:H24"/>
    <x:mergeCell ref="A25:H25"/>
  </x:mergeCells>
  <x:pageMargins left="0.7" right="0.7" top="0.75" bottom="0.75" header="0.3" footer="0.3"/>
  <x:drawing xmlns:r="http://schemas.openxmlformats.org/officeDocument/2006/relationships" r:id="R29ba8af68a8b4036"/>
</x:worksheet>
</file>

<file path=xl/worksheets/sheet2.xml><?xml version="1.0" encoding="utf-8"?>
<x:worksheet xmlns:x="http://schemas.openxmlformats.org/spreadsheetml/2006/main">
  <x:sheetPr>
    <x:tabColor rgb="FFD8B66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78" hidden="0" customWidth="1"/>
  </x:cols>
  <x:sheetData>
    <x:row r="1" ht="32" customHeight="1">
      <x:c r="A1" s="3" t="str">
        <x:v>可調整參數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黃色藍字可改；金額為新臺幣億元。年度各自調整，FY起訖月份尚未提供。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7" t="str">
        <x:v>參數</x:v>
      </x:c>
      <x:c r="B4" s="7" t="str">
        <x:v>單位</x:v>
      </x:c>
      <x:c r="C4" s="7" t="str">
        <x:v>FY2027</x:v>
      </x:c>
      <x:c r="D4" s="7" t="str">
        <x:v>FY2028</x:v>
      </x:c>
      <x:c r="E4" s="7" t="str">
        <x:v>FY2029</x:v>
      </x:c>
      <x:c r="F4" s="7" t="str">
        <x:v>下限</x:v>
      </x:c>
      <x:c r="G4" s="7" t="str">
        <x:v>上限</x:v>
      </x:c>
      <x:c r="H4" s="7" t="str">
        <x:v>來源與口徑</x:v>
      </x:c>
    </x:row>
    <x:row r="5" ht="44" customHeight="1">
      <x:c r="A5" s="2" t="str">
        <x:v>統包新增合格案源</x:v>
      </x:c>
      <x:c r="B5" s="2" t="str">
        <x:v>億元</x:v>
      </x:c>
      <x:c r="C5" s="10" t="n">
        <x:v>10</x:v>
      </x:c>
      <x:c r="D5" s="10" t="n">
        <x:v>8.2</x:v>
      </x:c>
      <x:c r="E5" s="10" t="n">
        <x:v>9.76</x:v>
      </x:c>
      <x:c r="F5" s="11" t="n">
        <x:v>0</x:v>
      </x:c>
      <x:c r="G5" s="11" t="n">
        <x:v>10000</x:v>
      </x:c>
      <x:c r="H5" s="12" t="str">
        <x:v>FY27網站；FY28–29為延續簽約目標的校準假設。</x:v>
      </x:c>
    </x:row>
    <x:row r="6" ht="44" customHeight="1">
      <x:c r="A6" s="2" t="str">
        <x:v>資管新增合格案源</x:v>
      </x:c>
      <x:c r="B6" s="2" t="str">
        <x:v>億元</x:v>
      </x:c>
      <x:c r="C6" s="10" t="n">
        <x:v>15</x:v>
      </x:c>
      <x:c r="D6" s="10" t="n">
        <x:v>12.3</x:v>
      </x:c>
      <x:c r="E6" s="10" t="n">
        <x:v>14.64</x:v>
      </x:c>
      <x:c r="F6" s="11" t="n">
        <x:v>0</x:v>
      </x:c>
      <x:c r="G6" s="11" t="n">
        <x:v>10000</x:v>
      </x:c>
      <x:c r="H6" s="12" t="str">
        <x:v>FY27網站；後續年度尚須取得案源證據。</x:v>
      </x:c>
    </x:row>
    <x:row r="7" ht="44" customHeight="1">
      <x:c r="A7" s="2" t="str">
        <x:v>AIDC新增合格案源</x:v>
      </x:c>
      <x:c r="B7" s="2" t="str">
        <x:v>億元</x:v>
      </x:c>
      <x:c r="C7" s="10" t="n">
        <x:v>50</x:v>
      </x:c>
      <x:c r="D7" s="10" t="n">
        <x:v>33</x:v>
      </x:c>
      <x:c r="E7" s="10" t="n">
        <x:v>38.4</x:v>
      </x:c>
      <x:c r="F7" s="11" t="n">
        <x:v>0</x:v>
      </x:c>
      <x:c r="G7" s="11" t="n">
        <x:v>10000</x:v>
      </x:c>
      <x:c r="H7" s="12" t="str">
        <x:v>FY27網站；後續年度為待核實規劃量。</x:v>
      </x:c>
    </x:row>
    <x:row r="8" ht="44" customHeight="1">
      <x:c r="A8" s="2" t="str">
        <x:v>新增案源規模倍率</x:v>
      </x:c>
      <x:c r="B8" s="2" t="str">
        <x:v>倍</x:v>
      </x:c>
      <x:c r="C8" s="10" t="n">
        <x:v>1</x:v>
      </x:c>
      <x:c r="D8" s="10" t="n">
        <x:v>1</x:v>
      </x:c>
      <x:c r="E8" s="10" t="n">
        <x:v>1</x:v>
      </x:c>
      <x:c r="F8" s="11" t="n">
        <x:v>0</x:v>
      </x:c>
      <x:c r="G8" s="11" t="n">
        <x:v>10</x:v>
      </x:c>
      <x:c r="H8" s="12" t="str">
        <x:v>三軌新增案源共同調整，期初案源不重乘。</x:v>
      </x:c>
    </x:row>
    <x:row r="9" ht="44" customHeight="1">
      <x:c r="A9" s="2" t="str">
        <x:v>統包年度簽約轉化率</x:v>
      </x:c>
      <x:c r="B9" s="2" t="str">
        <x:v>%</x:v>
      </x:c>
      <x:c r="C9" s="13" t="n">
        <x:v>0.4</x:v>
      </x:c>
      <x:c r="D9" s="13" t="n">
        <x:v>0.4</x:v>
      </x:c>
      <x:c r="E9" s="13" t="n">
        <x:v>0.4</x:v>
      </x:c>
      <x:c r="F9" s="14" t="n">
        <x:v>0</x:v>
      </x:c>
      <x:c r="G9" s="14" t="n">
        <x:v>1</x:v>
      </x:c>
      <x:c r="H9" s="12" t="str">
        <x:v>FY27引用網站40%；跨年視為可用案源年度簽約比例，待實績校正。</x:v>
      </x:c>
    </x:row>
    <x:row r="10" ht="44" customHeight="1">
      <x:c r="A10" s="2" t="str">
        <x:v>資管年度立案轉化率</x:v>
      </x:c>
      <x:c r="B10" s="2" t="str">
        <x:v>%</x:v>
      </x:c>
      <x:c r="C10" s="13" t="n">
        <x:v>0.4</x:v>
      </x:c>
      <x:c r="D10" s="13" t="n">
        <x:v>0.4</x:v>
      </x:c>
      <x:c r="E10" s="13" t="n">
        <x:v>0.4</x:v>
      </x:c>
      <x:c r="F10" s="14" t="n">
        <x:v>0</x:v>
      </x:c>
      <x:c r="G10" s="14" t="n">
        <x:v>1</x:v>
      </x:c>
      <x:c r="H10" s="12" t="str">
        <x:v>網站40%；土地、併網、投資決策影響，並非競標勝率。</x:v>
      </x:c>
    </x:row>
    <x:row r="11" ht="44" customHeight="1">
      <x:c r="A11" s="2" t="str">
        <x:v>AIDC里程碑簽約計畫</x:v>
      </x:c>
      <x:c r="B11" s="2" t="str">
        <x:v>億元</x:v>
      </x:c>
      <x:c r="C11" s="10" t="n">
        <x:v>10</x:v>
      </x:c>
      <x:c r="D11" s="10" t="n">
        <x:v>13</x:v>
      </x:c>
      <x:c r="E11" s="10" t="n">
        <x:v>16</x:v>
      </x:c>
      <x:c r="F11" s="11" t="n">
        <x:v>0</x:v>
      </x:c>
      <x:c r="G11" s="11" t="n">
        <x:v>10000</x:v>
      </x:c>
      <x:c r="H11" s="12" t="str">
        <x:v>FY27網站10億；後續假設占簽約總目標50%。</x:v>
      </x:c>
    </x:row>
    <x:row r="12" ht="44" customHeight="1">
      <x:c r="A12" s="2" t="str">
        <x:v>AIDC可簽約金額保留率</x:v>
      </x:c>
      <x:c r="B12" s="2" t="str">
        <x:v>%</x:v>
      </x:c>
      <x:c r="C12" s="13" t="n">
        <x:v>1</x:v>
      </x:c>
      <x:c r="D12" s="13" t="n">
        <x:v>1</x:v>
      </x:c>
      <x:c r="E12" s="13" t="n">
        <x:v>1</x:v>
      </x:c>
      <x:c r="F12" s="14" t="n">
        <x:v>0</x:v>
      </x:c>
      <x:c r="G12" s="14" t="n">
        <x:v>1</x:v>
      </x:c>
      <x:c r="H12" s="12" t="str">
        <x:v>100%全保留、0%整筆退出；不是成交機率。</x:v>
      </x:c>
    </x:row>
    <x:row r="13" ht="44" customHeight="1">
      <x:c r="A13" s="2" t="str">
        <x:v>未成交案源年度淘汰率</x:v>
      </x:c>
      <x:c r="B13" s="2" t="str">
        <x:v>%</x:v>
      </x:c>
      <x:c r="C13" s="13" t="n">
        <x:v>0.2</x:v>
      </x:c>
      <x:c r="D13" s="13" t="n">
        <x:v>0.2</x:v>
      </x:c>
      <x:c r="E13" s="13" t="n">
        <x:v>0.2</x:v>
      </x:c>
      <x:c r="F13" s="14" t="n">
        <x:v>0</x:v>
      </x:c>
      <x:c r="G13" s="14" t="n">
        <x:v>1</x:v>
      </x:c>
      <x:c r="H13" s="12" t="str">
        <x:v>新增假設；作用於年度未簽約餘額。</x:v>
      </x:c>
    </x:row>
    <x:row r="14" ht="44" customHeight="1">
      <x:c r="A14" s="2" t="str">
        <x:v>統包當年新約可交付率</x:v>
      </x:c>
      <x:c r="B14" s="2" t="str">
        <x:v>%</x:v>
      </x:c>
      <x:c r="C14" s="13" t="n">
        <x:v>1</x:v>
      </x:c>
      <x:c r="D14" s="13" t="n">
        <x:v>1</x:v>
      </x:c>
      <x:c r="E14" s="13" t="n">
        <x:v>1</x:v>
      </x:c>
      <x:c r="F14" s="14" t="n">
        <x:v>0</x:v>
      </x:c>
      <x:c r="G14" s="14" t="n">
        <x:v>1</x:v>
      </x:c>
      <x:c r="H14" s="12" t="str">
        <x:v>FY27對應網站當年認列假設；仍受產能與資金限制。</x:v>
      </x:c>
    </x:row>
    <x:row r="15" ht="44" customHeight="1">
      <x:c r="A15" s="2" t="str">
        <x:v>資管當年新約可交付率</x:v>
      </x:c>
      <x:c r="B15" s="2" t="str">
        <x:v>%</x:v>
      </x:c>
      <x:c r="C15" s="13" t="n">
        <x:v>1</x:v>
      </x:c>
      <x:c r="D15" s="13" t="n">
        <x:v>1</x:v>
      </x:c>
      <x:c r="E15" s="13" t="n">
        <x:v>1</x:v>
      </x:c>
      <x:c r="F15" s="14" t="n">
        <x:v>0</x:v>
      </x:c>
      <x:c r="G15" s="14" t="n">
        <x:v>1</x:v>
      </x:c>
      <x:c r="H15" s="12" t="str">
        <x:v>FY27對應網站；應按實際合約時程校正。</x:v>
      </x:c>
    </x:row>
    <x:row r="16" ht="44" customHeight="1">
      <x:c r="A16" s="2" t="str">
        <x:v>AIDC當年新約可交付率</x:v>
      </x:c>
      <x:c r="B16" s="2" t="str">
        <x:v>%</x:v>
      </x:c>
      <x:c r="C16" s="13" t="n">
        <x:v>0</x:v>
      </x:c>
      <x:c r="D16" s="13" t="n">
        <x:v>0</x:v>
      </x:c>
      <x:c r="E16" s="13" t="n">
        <x:v>0</x:v>
      </x:c>
      <x:c r="F16" s="14" t="n">
        <x:v>0</x:v>
      </x:c>
      <x:c r="G16" s="14" t="n">
        <x:v>1</x:v>
      </x:c>
      <x:c r="H16" s="12" t="str">
        <x:v>FY27網站跨期；後續延續一年成熟時滯假設。</x:v>
      </x:c>
    </x:row>
    <x:row r="17" ht="44" customHeight="1">
      <x:c r="A17" s="2" t="str">
        <x:v>統包期初訂單釋放率</x:v>
      </x:c>
      <x:c r="B17" s="2" t="str">
        <x:v>%</x:v>
      </x:c>
      <x:c r="C17" s="13" t="n">
        <x:v>1</x:v>
      </x:c>
      <x:c r="D17" s="13" t="n">
        <x:v>1</x:v>
      </x:c>
      <x:c r="E17" s="13" t="n">
        <x:v>1</x:v>
      </x:c>
      <x:c r="F17" s="14" t="n">
        <x:v>0</x:v>
      </x:c>
      <x:c r="G17" s="14" t="n">
        <x:v>1</x:v>
      </x:c>
      <x:c r="H17" s="12" t="str">
        <x:v>新增假設；期初在手訂單當年可交付比例。</x:v>
      </x:c>
    </x:row>
    <x:row r="18" ht="44" customHeight="1">
      <x:c r="A18" s="2" t="str">
        <x:v>資管期初訂單釋放率</x:v>
      </x:c>
      <x:c r="B18" s="2" t="str">
        <x:v>%</x:v>
      </x:c>
      <x:c r="C18" s="13" t="n">
        <x:v>1</x:v>
      </x:c>
      <x:c r="D18" s="13" t="n">
        <x:v>1</x:v>
      </x:c>
      <x:c r="E18" s="13" t="n">
        <x:v>1</x:v>
      </x:c>
      <x:c r="F18" s="14" t="n">
        <x:v>0</x:v>
      </x:c>
      <x:c r="G18" s="14" t="n">
        <x:v>1</x:v>
      </x:c>
      <x:c r="H18" s="12" t="str">
        <x:v>新增假設；期初在手訂單當年可交付比例。</x:v>
      </x:c>
    </x:row>
    <x:row r="19" ht="44" customHeight="1">
      <x:c r="A19" s="2" t="str">
        <x:v>AIDC期初訂單釋放率</x:v>
      </x:c>
      <x:c r="B19" s="2" t="str">
        <x:v>%</x:v>
      </x:c>
      <x:c r="C19" s="13" t="n">
        <x:v>0.5</x:v>
      </x:c>
      <x:c r="D19" s="13" t="n">
        <x:v>0.5</x:v>
      </x:c>
      <x:c r="E19" s="13" t="n">
        <x:v>0.5</x:v>
      </x:c>
      <x:c r="F19" s="14" t="n">
        <x:v>0</x:v>
      </x:c>
      <x:c r="G19" s="14" t="n">
        <x:v>1</x:v>
      </x:c>
      <x:c r="H19" s="12" t="str">
        <x:v>新增一階年度延遲假設；不是每批案子固定兩年完工。</x:v>
      </x:c>
    </x:row>
    <x:row r="20" ht="44" customHeight="1">
      <x:c r="A20" s="2" t="str">
        <x:v>OU年度交付容量</x:v>
      </x:c>
      <x:c r="B20" s="2" t="str">
        <x:v>億元/年</x:v>
      </x:c>
      <x:c r="C20" s="10" t="n">
        <x:v>10</x:v>
      </x:c>
      <x:c r="D20" s="10" t="n">
        <x:v>19</x:v>
      </x:c>
      <x:c r="E20" s="10" t="n">
        <x:v>27.8</x:v>
      </x:c>
      <x:c r="F20" s="11" t="n">
        <x:v>0</x:v>
      </x:c>
      <x:c r="G20" s="11" t="n">
        <x:v>10000</x:v>
      </x:c>
      <x:c r="H20" s="12" t="str">
        <x:v>暫以網站營收作容量代理，未取得OU實際承接保證。</x:v>
      </x:c>
    </x:row>
    <x:row r="21" ht="44" customHeight="1">
      <x:c r="A21" s="2" t="str">
        <x:v>統包基礎毛利率</x:v>
      </x:c>
      <x:c r="B21" s="2" t="str">
        <x:v>%</x:v>
      </x:c>
      <x:c r="C21" s="13" t="n">
        <x:v>0.12</x:v>
      </x:c>
      <x:c r="D21" s="13" t="n">
        <x:v>0.12</x:v>
      </x:c>
      <x:c r="E21" s="13" t="n">
        <x:v>0.12</x:v>
      </x:c>
      <x:c r="F21" s="14" t="n">
        <x:v>-1</x:v>
      </x:c>
      <x:c r="G21" s="14" t="n">
        <x:v>1</x:v>
      </x:c>
      <x:c r="H21" s="12" t="str">
        <x:v>網站毛利率；下方參數另計增量衝擊。</x:v>
      </x:c>
    </x:row>
    <x:row r="22" ht="44" customHeight="1">
      <x:c r="A22" s="2" t="str">
        <x:v>資管工程基礎毛利率</x:v>
      </x:c>
      <x:c r="B22" s="2" t="str">
        <x:v>%</x:v>
      </x:c>
      <x:c r="C22" s="13" t="n">
        <x:v>0.12</x:v>
      </x:c>
      <x:c r="D22" s="13" t="n">
        <x:v>0.12</x:v>
      </x:c>
      <x:c r="E22" s="13" t="n">
        <x:v>0.12</x:v>
      </x:c>
      <x:c r="F22" s="14" t="n">
        <x:v>-1</x:v>
      </x:c>
      <x:c r="G22" s="14" t="n">
        <x:v>1</x:v>
      </x:c>
      <x:c r="H22" s="12" t="str">
        <x:v>新增拆分假設：12%工程＋6個百分點開發＝網站18%。</x:v>
      </x:c>
    </x:row>
    <x:row r="23" ht="44" customHeight="1">
      <x:c r="A23" s="2" t="str">
        <x:v>資管開發毛利加成</x:v>
      </x:c>
      <x:c r="B23" s="2" t="str">
        <x:v>百分點</x:v>
      </x:c>
      <x:c r="C23" s="13" t="n">
        <x:v>0.06</x:v>
      </x:c>
      <x:c r="D23" s="13" t="n">
        <x:v>0.06</x:v>
      </x:c>
      <x:c r="E23" s="13" t="n">
        <x:v>0.06</x:v>
      </x:c>
      <x:c r="F23" s="14" t="n">
        <x:v>0</x:v>
      </x:c>
      <x:c r="G23" s="14" t="n">
        <x:v>1</x:v>
      </x:c>
      <x:c r="H23" s="12" t="str">
        <x:v>新增拆分假設，請按實際開發價值與成本調整。</x:v>
      </x:c>
    </x:row>
    <x:row r="24" ht="44" customHeight="1">
      <x:c r="A24" s="2" t="str">
        <x:v>開發毛利加成實現率</x:v>
      </x:c>
      <x:c r="B24" s="2" t="str">
        <x:v>%</x:v>
      </x:c>
      <x:c r="C24" s="13" t="n">
        <x:v>1</x:v>
      </x:c>
      <x:c r="D24" s="13" t="n">
        <x:v>1</x:v>
      </x:c>
      <x:c r="E24" s="13" t="n">
        <x:v>1</x:v>
      </x:c>
      <x:c r="F24" s="14" t="n">
        <x:v>0</x:v>
      </x:c>
      <x:c r="G24" s="14" t="n">
        <x:v>1</x:v>
      </x:c>
      <x:c r="H24" s="12" t="str">
        <x:v>開發價值讓利以毛利折減近似，不同時另減營收。</x:v>
      </x:c>
    </x:row>
    <x:row r="25" ht="44" customHeight="1">
      <x:c r="A25" s="2" t="str">
        <x:v>AIDC基礎毛利率</x:v>
      </x:c>
      <x:c r="B25" s="2" t="str">
        <x:v>%</x:v>
      </x:c>
      <x:c r="C25" s="13" t="n">
        <x:v>0.16</x:v>
      </x:c>
      <x:c r="D25" s="13" t="n">
        <x:v>0.16</x:v>
      </x:c>
      <x:c r="E25" s="13" t="n">
        <x:v>0.16</x:v>
      </x:c>
      <x:c r="F25" s="14" t="n">
        <x:v>-1</x:v>
      </x:c>
      <x:c r="G25" s="14" t="n">
        <x:v>1</x:v>
      </x:c>
      <x:c r="H25" s="12" t="str">
        <x:v>網站毛利率；技術與履約成本待驗證。</x:v>
      </x:c>
    </x:row>
    <x:row r="26" ht="44" customHeight="1">
      <x:c r="A26" s="2" t="str">
        <x:v>三軌共同毛利率變動</x:v>
      </x:c>
      <x:c r="B26" s="2" t="str">
        <x:v>百分點</x:v>
      </x:c>
      <x:c r="C26" s="13" t="n">
        <x:v>0</x:v>
      </x:c>
      <x:c r="D26" s="13" t="n">
        <x:v>0</x:v>
      </x:c>
      <x:c r="E26" s="13" t="n">
        <x:v>0</x:v>
      </x:c>
      <x:c r="F26" s="14" t="n">
        <x:v>-0.5</x:v>
      </x:c>
      <x:c r="G26" s="14" t="n">
        <x:v>0.5</x:v>
      </x:c>
      <x:c r="H26" s="12" t="str">
        <x:v>直接加在三軌毛利；-3%表示下降3個百分點。</x:v>
      </x:c>
    </x:row>
    <x:row r="27" ht="44" customHeight="1">
      <x:c r="A27" s="2" t="str">
        <x:v>直接成本漲價率</x:v>
      </x:c>
      <x:c r="B27" s="2" t="str">
        <x:v>%</x:v>
      </x:c>
      <x:c r="C27" s="13" t="n">
        <x:v>0</x:v>
      </x:c>
      <x:c r="D27" s="13" t="n">
        <x:v>0</x:v>
      </x:c>
      <x:c r="E27" s="13" t="n">
        <x:v>0</x:v>
      </x:c>
      <x:c r="F27" s="14" t="n">
        <x:v>0</x:v>
      </x:c>
      <x:c r="G27" s="14" t="n">
        <x:v>2</x:v>
      </x:c>
      <x:c r="H27" s="12" t="str">
        <x:v>乘在直接成本上，不是直接扣相同比例毛利。</x:v>
      </x:c>
    </x:row>
    <x:row r="28" ht="44" customHeight="1">
      <x:c r="A28" s="2" t="str">
        <x:v>超負荷成本係數</x:v>
      </x:c>
      <x:c r="B28" s="2" t="str">
        <x:v>百分點/倍</x:v>
      </x:c>
      <x:c r="C28" s="13" t="n">
        <x:v>0.01</x:v>
      </x:c>
      <x:c r="D28" s="13" t="n">
        <x:v>0.01</x:v>
      </x:c>
      <x:c r="E28" s="13" t="n">
        <x:v>0.01</x:v>
      </x:c>
      <x:c r="F28" s="14" t="n">
        <x:v>0</x:v>
      </x:c>
      <x:c r="G28" s="14" t="n">
        <x:v>1</x:v>
      </x:c>
      <x:c r="H28" s="12" t="str">
        <x:v>需求超出容量100%時額外扣1個百分點毛利；待實證。</x:v>
      </x:c>
    </x:row>
    <x:row r="29" ht="44" customHeight="1">
      <x:c r="A29" s="2" t="str">
        <x:v>人力編制</x:v>
      </x:c>
      <x:c r="B29" s="2" t="str">
        <x:v>人</x:v>
      </x:c>
      <x:c r="C29" s="30" t="n">
        <x:v>11</x:v>
      </x:c>
      <x:c r="D29" s="30" t="n">
        <x:v>15</x:v>
      </x:c>
      <x:c r="E29" s="30" t="n">
        <x:v>20</x:v>
      </x:c>
      <x:c r="F29" s="31" t="n">
        <x:v>0</x:v>
      </x:c>
      <x:c r="G29" s="31" t="n">
        <x:v>10000</x:v>
      </x:c>
      <x:c r="H29" s="12" t="str">
        <x:v>FY27 11人、FY29 20人來自網站；FY28 15人為假設。FY27職位表仍差2人。</x:v>
      </x:c>
    </x:row>
    <x:row r="30" ht="44" customHeight="1">
      <x:c r="A30" s="2" t="str">
        <x:v>人均年度完整費用</x:v>
      </x:c>
      <x:c r="B30" s="2" t="str">
        <x:v>億元/人</x:v>
      </x:c>
      <x:c r="C30" s="10" t="n">
        <x:v>0.02</x:v>
      </x:c>
      <x:c r="D30" s="10" t="n">
        <x:v>0.02</x:v>
      </x:c>
      <x:c r="E30" s="10" t="n">
        <x:v>0.02</x:v>
      </x:c>
      <x:c r="F30" s="11" t="n">
        <x:v>0</x:v>
      </x:c>
      <x:c r="G30" s="11" t="n">
        <x:v>100</x:v>
      </x:c>
      <x:c r="H30" s="12" t="str">
        <x:v>新增假設；0.02億＝200萬元，含薪酬福利等。</x:v>
      </x:c>
    </x:row>
    <x:row r="31" ht="44" customHeight="1">
      <x:c r="A31" s="2" t="str">
        <x:v>其他年度營業費用</x:v>
      </x:c>
      <x:c r="B31" s="2" t="str">
        <x:v>億元</x:v>
      </x:c>
      <x:c r="C31" s="10" t="n">
        <x:v>0.23</x:v>
      </x:c>
      <x:c r="D31" s="10" t="n">
        <x:v>0.3</x:v>
      </x:c>
      <x:c r="E31" s="10" t="n">
        <x:v>0.4</x:v>
      </x:c>
      <x:c r="F31" s="11" t="n">
        <x:v>0</x:v>
      </x:c>
      <x:c r="G31" s="11" t="n">
        <x:v>10000</x:v>
      </x:c>
      <x:c r="H31" s="12" t="str">
        <x:v>網站費用0.45/0.60/0.80減人數×人均費用之校準值。</x:v>
      </x:c>
    </x:row>
    <x:row r="32" ht="44" customHeight="1">
      <x:c r="A32" s="2" t="str">
        <x:v>應收帳款天數</x:v>
      </x:c>
      <x:c r="B32" s="2" t="str">
        <x:v>天</x:v>
      </x:c>
      <x:c r="C32" s="30" t="n">
        <x:v>90</x:v>
      </x:c>
      <x:c r="D32" s="30" t="n">
        <x:v>90</x:v>
      </x:c>
      <x:c r="E32" s="30" t="n">
        <x:v>90</x:v>
      </x:c>
      <x:c r="F32" s="31" t="n">
        <x:v>0</x:v>
      </x:c>
      <x:c r="G32" s="31" t="n">
        <x:v>365</x:v>
      </x:c>
      <x:c r="H32" s="12" t="str">
        <x:v>新增資金占用假設，未含預收款、保留款及稅額。</x:v>
      </x:c>
    </x:row>
    <x:row r="33" ht="44" customHeight="1">
      <x:c r="A33" s="2" t="str">
        <x:v>應付帳款天數</x:v>
      </x:c>
      <x:c r="B33" s="2" t="str">
        <x:v>天</x:v>
      </x:c>
      <x:c r="C33" s="30" t="n">
        <x:v>60</x:v>
      </x:c>
      <x:c r="D33" s="30" t="n">
        <x:v>60</x:v>
      </x:c>
      <x:c r="E33" s="30" t="n">
        <x:v>60</x:v>
      </x:c>
      <x:c r="F33" s="31" t="n">
        <x:v>0</x:v>
      </x:c>
      <x:c r="G33" s="31" t="n">
        <x:v>365</x:v>
      </x:c>
      <x:c r="H33" s="12" t="str">
        <x:v>新增假設；作用於直接成本，不含營業費用。</x:v>
      </x:c>
    </x:row>
    <x:row r="34" ht="44" customHeight="1">
      <x:c r="A34" s="2" t="str">
        <x:v>借款年利率</x:v>
      </x:c>
      <x:c r="B34" s="2" t="str">
        <x:v>%</x:v>
      </x:c>
      <x:c r="C34" s="13" t="n">
        <x:v>0.04</x:v>
      </x:c>
      <x:c r="D34" s="13" t="n">
        <x:v>0.04</x:v>
      </x:c>
      <x:c r="E34" s="13" t="n">
        <x:v>0.04</x:v>
      </x:c>
      <x:c r="F34" s="14" t="n">
        <x:v>0</x:v>
      </x:c>
      <x:c r="G34" s="14" t="n">
        <x:v>1</x:v>
      </x:c>
      <x:c r="H34" s="12" t="str">
        <x:v>新增情境假設，非銀行報價。</x:v>
      </x:c>
    </x:row>
    <x:row r="35" ht="44" customHeight="1">
      <x:c r="A35" s="2" t="str">
        <x:v>有效所得稅率</x:v>
      </x:c>
      <x:c r="B35" s="2" t="str">
        <x:v>%</x:v>
      </x:c>
      <x:c r="C35" s="13" t="n">
        <x:v>0.2</x:v>
      </x:c>
      <x:c r="D35" s="13" t="n">
        <x:v>0.2</x:v>
      </x:c>
      <x:c r="E35" s="13" t="n">
        <x:v>0.2</x:v>
      </x:c>
      <x:c r="F35" s="14" t="n">
        <x:v>0</x:v>
      </x:c>
      <x:c r="G35" s="14" t="n">
        <x:v>1</x:v>
      </x:c>
      <x:c r="H35" s="12" t="str">
        <x:v>模型假設；虧損不認列稅利益，未計遞延所得稅。</x:v>
      </x:c>
    </x:row>
    <x:row r="36" ht="44" customHeight="1">
      <x:c r="A36" s="2" t="str">
        <x:v>其他業外淨收入</x:v>
      </x:c>
      <x:c r="B36" s="2" t="str">
        <x:v>億元</x:v>
      </x:c>
      <x:c r="C36" s="10" t="n">
        <x:v>0.02</x:v>
      </x:c>
      <x:c r="D36" s="10" t="n">
        <x:v>0.05</x:v>
      </x:c>
      <x:c r="E36" s="10" t="n">
        <x:v>0.08</x:v>
      </x:c>
      <x:c r="F36" s="11" t="n">
        <x:v>-10000</x:v>
      </x:c>
      <x:c r="G36" s="11" t="n">
        <x:v>10000</x:v>
      </x:c>
      <x:c r="H36" s="12" t="str">
        <x:v>網站稅前淨利減營業利益；本模型另扣借款利息。</x:v>
      </x:c>
    </x:row>
    <x:row r="37" ht="44" customHeight="1">
      <x:c r="A37" s="2" t="str">
        <x:v>可用短期借款上限</x:v>
      </x:c>
      <x:c r="B37" s="2" t="str">
        <x:v>億元</x:v>
      </x:c>
      <x:c r="C37" s="10" t="n">
        <x:v>3</x:v>
      </x:c>
      <x:c r="D37" s="10" t="n">
        <x:v>3</x:v>
      </x:c>
      <x:c r="E37" s="10" t="n">
        <x:v>3</x:v>
      </x:c>
      <x:c r="F37" s="11" t="n">
        <x:v>0</x:v>
      </x:c>
      <x:c r="G37" s="11" t="n">
        <x:v>10000</x:v>
      </x:c>
      <x:c r="H37" s="12" t="str">
        <x:v>新增假設，不代表已核准額度。</x:v>
      </x:c>
    </x:row>
    <x:row r="38" ht="44" customHeight="1">
      <x:c r="A38" s="2" t="str">
        <x:v>正淨利轉入資金池比例</x:v>
      </x:c>
      <x:c r="B38" s="2" t="str">
        <x:v>%</x:v>
      </x:c>
      <x:c r="C38" s="13" t="n">
        <x:v>0.5</x:v>
      </x:c>
      <x:c r="D38" s="13" t="n">
        <x:v>0.5</x:v>
      </x:c>
      <x:c r="E38" s="13" t="n">
        <x:v>0.5</x:v>
      </x:c>
      <x:c r="F38" s="14" t="n">
        <x:v>0</x:v>
      </x:c>
      <x:c r="G38" s="14" t="n">
        <x:v>1</x:v>
      </x:c>
      <x:c r="H38" s="12" t="str">
        <x:v>次年生效；是可投入資金代理值，不等同現金流量表。</x:v>
      </x:c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34" customHeight="1">
      <x:c r="A41" s="7" t="str">
        <x:v>FY2027期初存量</x:v>
      </x:c>
      <x:c r="B41" s="7"/>
      <x:c r="C41" s="7"/>
      <x:c r="D41" s="7"/>
      <x:c r="E41" s="7"/>
      <x:c r="F41" s="7"/>
      <x:c r="G41" s="7"/>
      <x:c r="H41" s="7" t="str">
        <x:v>只輸入一次，後續年度由前一期結轉。</x:v>
      </x:c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 t="str">
        <x:v>可投入營運資金池</x:v>
      </x:c>
      <x:c r="B43" s="2" t="str">
        <x:v>億元</x:v>
      </x:c>
      <x:c r="C43" s="10" t="n">
        <x:v>1</x:v>
      </x:c>
      <x:c r="D43" s="2"/>
      <x:c r="E43" s="2"/>
      <x:c r="F43" s="2"/>
      <x:c r="G43" s="2"/>
      <x:c r="H43" s="2" t="str">
        <x:v>新增期初假設，請以實際期初餘額取代。</x:v>
      </x:c>
    </x:row>
    <x:row r="44" ht="24" customHeight="1">
      <x:c r="A44" s="2" t="str">
        <x:v>統包期初在手訂單</x:v>
      </x:c>
      <x:c r="B44" s="2" t="str">
        <x:v>億元</x:v>
      </x:c>
      <x:c r="C44" s="10" t="n">
        <x:v>0</x:v>
      </x:c>
      <x:c r="D44" s="2"/>
      <x:c r="E44" s="2"/>
      <x:c r="F44" s="2"/>
      <x:c r="G44" s="2"/>
      <x:c r="H44" s="2" t="str">
        <x:v>新增期初假設，請以實際期初餘額取代。</x:v>
      </x:c>
    </x:row>
    <x:row r="45" ht="24" customHeight="1">
      <x:c r="A45" s="2" t="str">
        <x:v>資管期初在手訂單</x:v>
      </x:c>
      <x:c r="B45" s="2" t="str">
        <x:v>億元</x:v>
      </x:c>
      <x:c r="C45" s="10" t="n">
        <x:v>0</x:v>
      </x:c>
      <x:c r="D45" s="2"/>
      <x:c r="E45" s="2"/>
      <x:c r="F45" s="2"/>
      <x:c r="G45" s="2"/>
      <x:c r="H45" s="2" t="str">
        <x:v>新增期初假設，請以實際期初餘額取代。</x:v>
      </x:c>
    </x:row>
    <x:row r="46" ht="24" customHeight="1">
      <x:c r="A46" s="2" t="str">
        <x:v>AIDC期初在手訂單</x:v>
      </x:c>
      <x:c r="B46" s="2" t="str">
        <x:v>億元</x:v>
      </x:c>
      <x:c r="C46" s="10" t="n">
        <x:v>0</x:v>
      </x:c>
      <x:c r="D46" s="2"/>
      <x:c r="E46" s="2"/>
      <x:c r="F46" s="2"/>
      <x:c r="G46" s="2"/>
      <x:c r="H46" s="2" t="str">
        <x:v>新增期初假設，請以實際期初餘額取代。</x:v>
      </x:c>
    </x:row>
    <x:row r="47" ht="24" customHeight="1">
      <x:c r="A47" s="2" t="str">
        <x:v>統包期初案源</x:v>
      </x:c>
      <x:c r="B47" s="2" t="str">
        <x:v>億元</x:v>
      </x:c>
      <x:c r="C47" s="10" t="n">
        <x:v>0</x:v>
      </x:c>
      <x:c r="D47" s="2"/>
      <x:c r="E47" s="2"/>
      <x:c r="F47" s="2"/>
      <x:c r="G47" s="2"/>
      <x:c r="H47" s="2" t="str">
        <x:v>新增期初假設，請以實際期初餘額取代。</x:v>
      </x:c>
    </x:row>
    <x:row r="48" ht="24" customHeight="1">
      <x:c r="A48" s="2" t="str">
        <x:v>資管期初案源</x:v>
      </x:c>
      <x:c r="B48" s="2" t="str">
        <x:v>億元</x:v>
      </x:c>
      <x:c r="C48" s="10" t="n">
        <x:v>0</x:v>
      </x:c>
      <x:c r="D48" s="2"/>
      <x:c r="E48" s="2"/>
      <x:c r="F48" s="2"/>
      <x:c r="G48" s="2"/>
      <x:c r="H48" s="2" t="str">
        <x:v>新增期初假設，請以實際期初餘額取代。</x:v>
      </x:c>
    </x:row>
    <x:row r="49" ht="24" customHeight="1">
      <x:c r="A49" s="2" t="str">
        <x:v>AIDC期初案源</x:v>
      </x:c>
      <x:c r="B49" s="2" t="str">
        <x:v>億元</x:v>
      </x:c>
      <x:c r="C49" s="10" t="n">
        <x:v>0</x:v>
      </x:c>
      <x:c r="D49" s="2"/>
      <x:c r="E49" s="2"/>
      <x:c r="F49" s="2"/>
      <x:c r="G49" s="2"/>
      <x:c r="H49" s="2" t="str">
        <x:v>新增期初假設，請以實際期初餘額取代。</x:v>
      </x:c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38" customHeight="1">
      <x:c r="A52" s="15" t="str">
        <x:v>人力費用列營業費用；OU施工與設備成本列直接成本，避免重複計算。</x:v>
      </x:c>
      <x:c r="B52" s="15"/>
      <x:c r="C52" s="15"/>
      <x:c r="D52" s="15"/>
      <x:c r="E52" s="15"/>
      <x:c r="F52" s="15"/>
      <x:c r="G52" s="15"/>
      <x:c r="H52" s="15"/>
    </x:row>
    <x:row r="53" ht="38" customHeight="1">
      <x:c r="A53" s="15" t="str">
        <x:v>百分比輸入40%或0.4；黃色格不可留白。三年模型底部有輸入與存量檢查。</x:v>
      </x:c>
      <x:c r="B53" s="15"/>
      <x:c r="C53" s="15"/>
      <x:c r="D53" s="15"/>
      <x:c r="E53" s="15"/>
      <x:c r="F53" s="15"/>
      <x:c r="G53" s="15"/>
      <x:c r="H53" s="15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</x:sheetData>
  <x:mergeCells>
    <x:mergeCell ref="A52:H52"/>
    <x:mergeCell ref="A53:H53"/>
  </x:mergeCells>
  <x:dataValidations count="41">
    <x:dataValidation type="decimal" operator="between" sqref="C5:E5">
      <x:formula1>0</x:formula1>
      <x:formula2>10000</x:formula2>
    </x:dataValidation>
    <x:dataValidation type="decimal" operator="between" sqref="C6:E6">
      <x:formula1>0</x:formula1>
      <x:formula2>10000</x:formula2>
    </x:dataValidation>
    <x:dataValidation type="decimal" operator="between" sqref="C7:E7">
      <x:formula1>0</x:formula1>
      <x:formula2>10000</x:formula2>
    </x:dataValidation>
    <x:dataValidation type="decimal" operator="between" sqref="C8:E8">
      <x:formula1>0</x:formula1>
      <x:formula2>10</x:formula2>
    </x:dataValidation>
    <x:dataValidation type="decimal" operator="between" sqref="C9:E9">
      <x:formula1>0</x:formula1>
      <x:formula2>1</x:formula2>
    </x:dataValidation>
    <x:dataValidation type="decimal" operator="between" sqref="C10:E10">
      <x:formula1>0</x:formula1>
      <x:formula2>1</x:formula2>
    </x:dataValidation>
    <x:dataValidation type="decimal" operator="between" sqref="C11:E11">
      <x:formula1>0</x:formula1>
      <x:formula2>10000</x:formula2>
    </x:dataValidation>
    <x:dataValidation type="decimal" operator="between" sqref="C12:E12">
      <x:formula1>0</x:formula1>
      <x:formula2>1</x:formula2>
    </x:dataValidation>
    <x:dataValidation type="decimal" operator="between" sqref="C13:E13">
      <x:formula1>0</x:formula1>
      <x:formula2>1</x:formula2>
    </x:dataValidation>
    <x:dataValidation type="decimal" operator="between" sqref="C14:E14">
      <x:formula1>0</x:formula1>
      <x:formula2>1</x:formula2>
    </x:dataValidation>
    <x:dataValidation type="decimal" operator="between" sqref="C15:E15">
      <x:formula1>0</x:formula1>
      <x:formula2>1</x:formula2>
    </x:dataValidation>
    <x:dataValidation type="decimal" operator="between" sqref="C16:E16">
      <x:formula1>0</x:formula1>
      <x:formula2>1</x:formula2>
    </x:dataValidation>
    <x:dataValidation type="decimal" operator="between" sqref="C17:E17">
      <x:formula1>0</x:formula1>
      <x:formula2>1</x:formula2>
    </x:dataValidation>
    <x:dataValidation type="decimal" operator="between" sqref="C18:E18">
      <x:formula1>0</x:formula1>
      <x:formula2>1</x:formula2>
    </x:dataValidation>
    <x:dataValidation type="decimal" operator="between" sqref="C19:E19">
      <x:formula1>0</x:formula1>
      <x:formula2>1</x:formula2>
    </x:dataValidation>
    <x:dataValidation type="decimal" operator="between" sqref="C20:E20">
      <x:formula1>0</x:formula1>
      <x:formula2>10000</x:formula2>
    </x:dataValidation>
    <x:dataValidation type="decimal" operator="between" sqref="C21:E21">
      <x:formula1>-1</x:formula1>
      <x:formula2>1</x:formula2>
    </x:dataValidation>
    <x:dataValidation type="decimal" operator="between" sqref="C22:E22">
      <x:formula1>-1</x:formula1>
      <x:formula2>1</x:formula2>
    </x:dataValidation>
    <x:dataValidation type="decimal" operator="between" sqref="C23:E23">
      <x:formula1>0</x:formula1>
      <x:formula2>1</x:formula2>
    </x:dataValidation>
    <x:dataValidation type="decimal" operator="between" sqref="C24:E24">
      <x:formula1>0</x:formula1>
      <x:formula2>1</x:formula2>
    </x:dataValidation>
    <x:dataValidation type="decimal" operator="between" sqref="C25:E25">
      <x:formula1>-1</x:formula1>
      <x:formula2>1</x:formula2>
    </x:dataValidation>
    <x:dataValidation type="decimal" operator="between" sqref="C26:E26">
      <x:formula1>-0.5</x:formula1>
      <x:formula2>0.5</x:formula2>
    </x:dataValidation>
    <x:dataValidation type="decimal" operator="between" sqref="C27:E27">
      <x:formula1>0</x:formula1>
      <x:formula2>2</x:formula2>
    </x:dataValidation>
    <x:dataValidation type="decimal" operator="between" sqref="C28:E28">
      <x:formula1>0</x:formula1>
      <x:formula2>1</x:formula2>
    </x:dataValidation>
    <x:dataValidation type="whole" operator="between" sqref="C29:E29">
      <x:formula1>0</x:formula1>
      <x:formula2>10000</x:formula2>
    </x:dataValidation>
    <x:dataValidation type="decimal" operator="between" sqref="C30:E30">
      <x:formula1>0</x:formula1>
      <x:formula2>100</x:formula2>
    </x:dataValidation>
    <x:dataValidation type="decimal" operator="between" sqref="C31:E31">
      <x:formula1>0</x:formula1>
      <x:formula2>10000</x:formula2>
    </x:dataValidation>
    <x:dataValidation type="decimal" operator="between" sqref="C32:E32">
      <x:formula1>0</x:formula1>
      <x:formula2>365</x:formula2>
    </x:dataValidation>
    <x:dataValidation type="decimal" operator="between" sqref="C33:E33">
      <x:formula1>0</x:formula1>
      <x:formula2>365</x:formula2>
    </x:dataValidation>
    <x:dataValidation type="decimal" operator="between" sqref="C34:E34">
      <x:formula1>0</x:formula1>
      <x:formula2>1</x:formula2>
    </x:dataValidation>
    <x:dataValidation type="decimal" operator="between" sqref="C35:E35">
      <x:formula1>0</x:formula1>
      <x:formula2>1</x:formula2>
    </x:dataValidation>
    <x:dataValidation type="decimal" operator="between" sqref="C36:E36">
      <x:formula1>-10000</x:formula1>
      <x:formula2>10000</x:formula2>
    </x:dataValidation>
    <x:dataValidation type="decimal" operator="between" sqref="C37:E37">
      <x:formula1>0</x:formula1>
      <x:formula2>10000</x:formula2>
    </x:dataValidation>
    <x:dataValidation type="decimal" operator="between" sqref="C38:E38">
      <x:formula1>0</x:formula1>
      <x:formula2>1</x:formula2>
    </x:dataValidation>
    <x:dataValidation type="decimal" operator="between" sqref="C43">
      <x:formula1>0</x:formula1>
      <x:formula2>10000</x:formula2>
    </x:dataValidation>
    <x:dataValidation type="decimal" operator="between" sqref="C44">
      <x:formula1>0</x:formula1>
      <x:formula2>10000</x:formula2>
    </x:dataValidation>
    <x:dataValidation type="decimal" operator="between" sqref="C45">
      <x:formula1>0</x:formula1>
      <x:formula2>10000</x:formula2>
    </x:dataValidation>
    <x:dataValidation type="decimal" operator="between" sqref="C46">
      <x:formula1>0</x:formula1>
      <x:formula2>10000</x:formula2>
    </x:dataValidation>
    <x:dataValidation type="decimal" operator="between" sqref="C47">
      <x:formula1>0</x:formula1>
      <x:formula2>10000</x:formula2>
    </x:dataValidation>
    <x:dataValidation type="decimal" operator="between" sqref="C48">
      <x:formula1>0</x:formula1>
      <x:formula2>10000</x:formula2>
    </x:dataValidation>
    <x:dataValidation type="decimal" operator="between" sqref="C49">
      <x:formula1>0</x:formula1>
      <x:formula2>10000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68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三年存量流量與損益</x:v>
      </x:c>
      <x:c r="B1" s="2"/>
      <x:c r="C1" s="2"/>
      <x:c r="D1" s="2"/>
      <x:c r="E1" s="2"/>
      <x:c r="F1" s="2"/>
    </x:row>
    <x:row r="2" ht="24" customHeight="1">
      <x:c r="A2" s="4" t="str">
        <x:v>年度步長；交付額作營收代理，實際認列政策需由財務確認。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34" customHeight="1">
      <x:c r="A4" s="7" t="str">
        <x:v>項目</x:v>
      </x:c>
      <x:c r="B4" s="7" t="str">
        <x:v>單位</x:v>
      </x:c>
      <x:c r="C4" s="7" t="str">
        <x:v>FY2027</x:v>
      </x:c>
      <x:c r="D4" s="7" t="str">
        <x:v>FY2028</x:v>
      </x:c>
      <x:c r="E4" s="7" t="str">
        <x:v>FY2029</x:v>
      </x:c>
      <x:c r="F4" s="7" t="str">
        <x:v>計算說明</x:v>
      </x:c>
    </x:row>
    <x:row r="5" ht="24" customHeight="1">
      <x:c r="A5" s="2" t="str">
        <x:v>統包期初案源</x:v>
      </x:c>
      <x:c r="B5" s="2" t="str">
        <x:v>億元</x:v>
      </x:c>
      <x:c r="C5" s="11" t="n">
        <x:f>'參數'!$C$47</x:f>
        <x:v>0</x:v>
      </x:c>
      <x:c r="D5" s="11" t="n">
        <x:f>C18</x:f>
        <x:v>4.8</x:v>
      </x:c>
      <x:c r="E5" s="11" t="n">
        <x:f>D18</x:f>
        <x:v>6.24</x:v>
      </x:c>
      <x:c r="F5" s="2"/>
    </x:row>
    <x:row r="6" ht="24" customHeight="1">
      <x:c r="A6" s="2" t="str">
        <x:v>資管期初案源</x:v>
      </x:c>
      <x:c r="B6" s="2" t="str">
        <x:v>億元</x:v>
      </x:c>
      <x:c r="C6" s="11" t="n">
        <x:f>'參數'!$C$48</x:f>
        <x:v>0</x:v>
      </x:c>
      <x:c r="D6" s="11" t="n">
        <x:f>C19</x:f>
        <x:v>7.2</x:v>
      </x:c>
      <x:c r="E6" s="11" t="n">
        <x:f>D19</x:f>
        <x:v>9.36</x:v>
      </x:c>
      <x:c r="F6" s="2"/>
    </x:row>
    <x:row r="7" ht="24" customHeight="1">
      <x:c r="A7" s="2" t="str">
        <x:v>AIDC期初案源</x:v>
      </x:c>
      <x:c r="B7" s="2" t="str">
        <x:v>億元</x:v>
      </x:c>
      <x:c r="C7" s="11" t="n">
        <x:f>'參數'!$C$49</x:f>
        <x:v>0</x:v>
      </x:c>
      <x:c r="D7" s="11" t="n">
        <x:f>C20</x:f>
        <x:v>32</x:v>
      </x:c>
      <x:c r="E7" s="11" t="n">
        <x:f>D20</x:f>
        <x:v>41.6</x:v>
      </x:c>
      <x:c r="F7" s="2"/>
    </x:row>
    <x:row r="8" ht="45" customHeight="1">
      <x:c r="A8" s="2" t="str">
        <x:v>統包可用案源</x:v>
      </x:c>
      <x:c r="B8" s="2" t="str">
        <x:v>億元</x:v>
      </x:c>
      <x:c r="C8" s="11" t="n">
        <x:f>C5+'參數'!C5*'參數'!C8</x:f>
        <x:v>10</x:v>
      </x:c>
      <x:c r="D8" s="11" t="n">
        <x:f>D5+'參數'!D5*'參數'!D8</x:f>
        <x:v>13</x:v>
      </x:c>
      <x:c r="E8" s="11" t="n">
        <x:f>E5+'參數'!E5*'參數'!E8</x:f>
        <x:v>16</x:v>
      </x:c>
      <x:c r="F8" s="12" t="str">
        <x:v>期初案源＋新增案源×規模倍率；應填可取得合約額，不是案場全部投資額。</x:v>
      </x:c>
    </x:row>
    <x:row r="9" ht="24" customHeight="1">
      <x:c r="A9" s="2" t="str">
        <x:v>資管可用案源</x:v>
      </x:c>
      <x:c r="B9" s="2" t="str">
        <x:v>億元</x:v>
      </x:c>
      <x:c r="C9" s="11" t="n">
        <x:f>C6+'參數'!C6*'參數'!C8</x:f>
        <x:v>15</x:v>
      </x:c>
      <x:c r="D9" s="11" t="n">
        <x:f>D6+'參數'!D6*'參數'!D8</x:f>
        <x:v>19.5</x:v>
      </x:c>
      <x:c r="E9" s="11" t="n">
        <x:f>E6+'參數'!E6*'參數'!E8</x:f>
        <x:v>24</x:v>
      </x:c>
      <x:c r="F9" s="2"/>
    </x:row>
    <x:row r="10" ht="24" customHeight="1">
      <x:c r="A10" s="2" t="str">
        <x:v>AIDC可用案源</x:v>
      </x:c>
      <x:c r="B10" s="2" t="str">
        <x:v>億元</x:v>
      </x:c>
      <x:c r="C10" s="11" t="n">
        <x:f>C7+'參數'!C7*'參數'!C8</x:f>
        <x:v>50</x:v>
      </x:c>
      <x:c r="D10" s="11" t="n">
        <x:f>D7+'參數'!D7*'參數'!D8</x:f>
        <x:v>65</x:v>
      </x:c>
      <x:c r="E10" s="11" t="n">
        <x:f>E7+'參數'!E7*'參數'!E8</x:f>
        <x:v>80</x:v>
      </x:c>
      <x:c r="F10" s="2"/>
    </x:row>
    <x:row r="11" ht="24" customHeight="1">
      <x:c r="A11" s="2" t="str">
        <x:v>統包新增簽約</x:v>
      </x:c>
      <x:c r="B11" s="2" t="str">
        <x:v>億元</x:v>
      </x:c>
      <x:c r="C11" s="11" t="n">
        <x:f>C8*'參數'!C9</x:f>
        <x:v>4</x:v>
      </x:c>
      <x:c r="D11" s="11" t="n">
        <x:f>D8*'參數'!D9</x:f>
        <x:v>5.2</x:v>
      </x:c>
      <x:c r="E11" s="11" t="n">
        <x:f>E8*'參數'!E9</x:f>
        <x:v>6.4</x:v>
      </x:c>
      <x:c r="F11" s="2"/>
    </x:row>
    <x:row r="12" ht="24" customHeight="1">
      <x:c r="A12" s="2" t="str">
        <x:v>資管新增簽約</x:v>
      </x:c>
      <x:c r="B12" s="2" t="str">
        <x:v>億元</x:v>
      </x:c>
      <x:c r="C12" s="11" t="n">
        <x:f>C9*'參數'!C10</x:f>
        <x:v>6</x:v>
      </x:c>
      <x:c r="D12" s="11" t="n">
        <x:f>D9*'參數'!D10</x:f>
        <x:v>7.800000000000001</x:v>
      </x:c>
      <x:c r="E12" s="11" t="n">
        <x:f>E9*'參數'!E10</x:f>
        <x:v>9.600000000000001</x:v>
      </x:c>
      <x:c r="F12" s="2"/>
    </x:row>
    <x:row r="13" ht="45" customHeight="1">
      <x:c r="A13" s="2" t="str">
        <x:v>AIDC新增簽約</x:v>
      </x:c>
      <x:c r="B13" s="2" t="str">
        <x:v>億元</x:v>
      </x:c>
      <x:c r="C13" s="11" t="n">
        <x:f>MIN(C10,'參數'!C11*'參數'!C12)</x:f>
        <x:v>10</x:v>
      </x:c>
      <x:c r="D13" s="11" t="n">
        <x:f>MIN(D10,'參數'!D11*'參數'!D12)</x:f>
        <x:v>13</x:v>
      </x:c>
      <x:c r="E13" s="11" t="n">
        <x:f>MIN(E10,'參數'!E11*'參數'!E12)</x:f>
        <x:v>16</x:v>
      </x:c>
      <x:c r="F13" s="12" t="str">
        <x:v>取可用案源與里程碑計畫×保留率較小值；未套用20%成交機率。</x:v>
      </x:c>
    </x:row>
    <x:row r="14" ht="24" customHeight="1">
      <x:c r="A14" s="20" t="str">
        <x:v>簽約總額</x:v>
      </x:c>
      <x:c r="B14" s="20" t="str">
        <x:v>億元</x:v>
      </x:c>
      <x:c r="C14" s="21" t="n">
        <x:f>C11+C12+C13</x:f>
        <x:v>20</x:v>
      </x:c>
      <x:c r="D14" s="21" t="n">
        <x:f>D11+D12+D13</x:f>
        <x:v>26</x:v>
      </x:c>
      <x:c r="E14" s="21" t="n">
        <x:f>E11+E12+E13</x:f>
        <x:v>32</x:v>
      </x:c>
      <x:c r="F14" s="20"/>
    </x:row>
    <x:row r="15" ht="24" customHeight="1">
      <x:c r="A15" s="2" t="str">
        <x:v>統包淘汰案源</x:v>
      </x:c>
      <x:c r="B15" s="2" t="str">
        <x:v>億元</x:v>
      </x:c>
      <x:c r="C15" s="11" t="n">
        <x:f>(C8-C11)*'參數'!C13</x:f>
        <x:v>1.2000000000000002</x:v>
      </x:c>
      <x:c r="D15" s="11" t="n">
        <x:f>(D8-D11)*'參數'!D13</x:f>
        <x:v>1.56</x:v>
      </x:c>
      <x:c r="E15" s="11" t="n">
        <x:f>(E8-E11)*'參數'!E13</x:f>
        <x:v>1.92</x:v>
      </x:c>
      <x:c r="F15" s="2"/>
    </x:row>
    <x:row r="16" ht="24" customHeight="1">
      <x:c r="A16" s="2" t="str">
        <x:v>資管淘汰案源</x:v>
      </x:c>
      <x:c r="B16" s="2" t="str">
        <x:v>億元</x:v>
      </x:c>
      <x:c r="C16" s="11" t="n">
        <x:f>(C9-C12)*'參數'!C13</x:f>
        <x:v>1.8</x:v>
      </x:c>
      <x:c r="D16" s="11" t="n">
        <x:f>(D9-D12)*'參數'!D13</x:f>
        <x:v>2.34</x:v>
      </x:c>
      <x:c r="E16" s="11" t="n">
        <x:f>(E9-E12)*'參數'!E13</x:f>
        <x:v>2.88</x:v>
      </x:c>
      <x:c r="F16" s="2"/>
    </x:row>
    <x:row r="17" ht="24" customHeight="1">
      <x:c r="A17" s="2" t="str">
        <x:v>AIDC淘汰案源</x:v>
      </x:c>
      <x:c r="B17" s="2" t="str">
        <x:v>億元</x:v>
      </x:c>
      <x:c r="C17" s="11" t="n">
        <x:f>(C10-C13)*'參數'!C13</x:f>
        <x:v>8</x:v>
      </x:c>
      <x:c r="D17" s="11" t="n">
        <x:f>(D10-D13)*'參數'!D13</x:f>
        <x:v>10.4</x:v>
      </x:c>
      <x:c r="E17" s="11" t="n">
        <x:f>(E10-E13)*'參數'!E13</x:f>
        <x:v>12.8</x:v>
      </x:c>
      <x:c r="F17" s="2"/>
    </x:row>
    <x:row r="18" ht="45" customHeight="1">
      <x:c r="A18" s="2" t="str">
        <x:v>統包期末案源</x:v>
      </x:c>
      <x:c r="B18" s="2" t="str">
        <x:v>億元</x:v>
      </x:c>
      <x:c r="C18" s="11" t="n">
        <x:f>C8-C11-C15</x:f>
        <x:v>4.8</x:v>
      </x:c>
      <x:c r="D18" s="11" t="n">
        <x:f>D8-D11-D15</x:f>
        <x:v>6.24</x:v>
      </x:c>
      <x:c r="E18" s="11" t="n">
        <x:f>E8-E11-E15</x:f>
        <x:v>7.68</x:v>
      </x:c>
      <x:c r="F18" s="12" t="str">
        <x:v>期末案源＝期初＋新增－簽約－淘汰，下一年接續。</x:v>
      </x:c>
    </x:row>
    <x:row r="19" ht="24" customHeight="1">
      <x:c r="A19" s="2" t="str">
        <x:v>資管期末案源</x:v>
      </x:c>
      <x:c r="B19" s="2" t="str">
        <x:v>億元</x:v>
      </x:c>
      <x:c r="C19" s="11" t="n">
        <x:f>C9-C12-C16</x:f>
        <x:v>7.2</x:v>
      </x:c>
      <x:c r="D19" s="11" t="n">
        <x:f>D9-D12-D16</x:f>
        <x:v>9.36</x:v>
      </x:c>
      <x:c r="E19" s="11" t="n">
        <x:f>E9-E12-E16</x:f>
        <x:v>11.52</x:v>
      </x:c>
      <x:c r="F19" s="2"/>
    </x:row>
    <x:row r="20" ht="24" customHeight="1">
      <x:c r="A20" s="2" t="str">
        <x:v>AIDC期末案源</x:v>
      </x:c>
      <x:c r="B20" s="2" t="str">
        <x:v>億元</x:v>
      </x:c>
      <x:c r="C20" s="11" t="n">
        <x:f>C10-C13-C17</x:f>
        <x:v>32</x:v>
      </x:c>
      <x:c r="D20" s="11" t="n">
        <x:f>D10-D13-D17</x:f>
        <x:v>41.6</x:v>
      </x:c>
      <x:c r="E20" s="11" t="n">
        <x:f>E10-E13-E17</x:f>
        <x:v>51.2</x:v>
      </x:c>
      <x:c r="F20" s="2"/>
    </x:row>
    <x:row r="21" ht="24" customHeight="1">
      <x:c r="A21" s="2" t="str">
        <x:v>統包期初訂單</x:v>
      </x:c>
      <x:c r="B21" s="2" t="str">
        <x:v>億元</x:v>
      </x:c>
      <x:c r="C21" s="11" t="n">
        <x:f>'參數'!$C$44</x:f>
        <x:v>0</x:v>
      </x:c>
      <x:c r="D21" s="11" t="n">
        <x:f>C42</x:f>
        <x:v>0</x:v>
      </x:c>
      <x:c r="E21" s="11" t="n">
        <x:f>D42</x:f>
        <x:v>0</x:v>
      </x:c>
      <x:c r="F21" s="2"/>
    </x:row>
    <x:row r="22" ht="24" customHeight="1">
      <x:c r="A22" s="2" t="str">
        <x:v>資管期初訂單</x:v>
      </x:c>
      <x:c r="B22" s="2" t="str">
        <x:v>億元</x:v>
      </x:c>
      <x:c r="C22" s="11" t="n">
        <x:f>'參數'!$C$45</x:f>
        <x:v>0</x:v>
      </x:c>
      <x:c r="D22" s="11" t="n">
        <x:f>C43</x:f>
        <x:v>0</x:v>
      </x:c>
      <x:c r="E22" s="11" t="n">
        <x:f>D43</x:f>
        <x:v>0</x:v>
      </x:c>
      <x:c r="F22" s="2"/>
    </x:row>
    <x:row r="23" ht="24" customHeight="1">
      <x:c r="A23" s="2" t="str">
        <x:v>AIDC期初訂單</x:v>
      </x:c>
      <x:c r="B23" s="2" t="str">
        <x:v>億元</x:v>
      </x:c>
      <x:c r="C23" s="11" t="n">
        <x:f>'參數'!$C$46</x:f>
        <x:v>0</x:v>
      </x:c>
      <x:c r="D23" s="11" t="n">
        <x:f>C44</x:f>
        <x:v>10</x:v>
      </x:c>
      <x:c r="E23" s="11" t="n">
        <x:f>D44</x:f>
        <x:v>18</x:v>
      </x:c>
      <x:c r="F23" s="2"/>
    </x:row>
    <x:row r="24" ht="45" customHeight="1">
      <x:c r="A24" s="2" t="str">
        <x:v>統包可交付訂單</x:v>
      </x:c>
      <x:c r="B24" s="2" t="str">
        <x:v>億元</x:v>
      </x:c>
      <x:c r="C24" s="11" t="n">
        <x:f>C21*'參數'!C17+C11*'參數'!C14</x:f>
        <x:v>4</x:v>
      </x:c>
      <x:c r="D24" s="11" t="n">
        <x:f>D21*'參數'!D17+D11*'參數'!D14</x:f>
        <x:v>5.2</x:v>
      </x:c>
      <x:c r="E24" s="11" t="n">
        <x:f>E21*'參數'!E17+E11*'參數'!E14</x:f>
        <x:v>6.4</x:v>
      </x:c>
      <x:c r="F24" s="12" t="str">
        <x:v>期初訂單×釋放率＋當年簽約×當年可交付率。</x:v>
      </x:c>
    </x:row>
    <x:row r="25" ht="24" customHeight="1">
      <x:c r="A25" s="2" t="str">
        <x:v>資管可交付訂單</x:v>
      </x:c>
      <x:c r="B25" s="2" t="str">
        <x:v>億元</x:v>
      </x:c>
      <x:c r="C25" s="11" t="n">
        <x:f>C22*'參數'!C18+C12*'參數'!C15</x:f>
        <x:v>6</x:v>
      </x:c>
      <x:c r="D25" s="11" t="n">
        <x:f>D22*'參數'!D18+D12*'參數'!D15</x:f>
        <x:v>7.800000000000001</x:v>
      </x:c>
      <x:c r="E25" s="11" t="n">
        <x:f>E22*'參數'!E18+E12*'參數'!E15</x:f>
        <x:v>9.600000000000001</x:v>
      </x:c>
      <x:c r="F25" s="2"/>
    </x:row>
    <x:row r="26" ht="24" customHeight="1">
      <x:c r="A26" s="2" t="str">
        <x:v>AIDC可交付訂單</x:v>
      </x:c>
      <x:c r="B26" s="2" t="str">
        <x:v>億元</x:v>
      </x:c>
      <x:c r="C26" s="11" t="n">
        <x:f>C23*'參數'!C19+C13*'參數'!C16</x:f>
        <x:v>0</x:v>
      </x:c>
      <x:c r="D26" s="11" t="n">
        <x:f>D23*'參數'!D19+D13*'參數'!D16</x:f>
        <x:v>5</x:v>
      </x:c>
      <x:c r="E26" s="11" t="n">
        <x:f>E23*'參數'!E19+E13*'參數'!E16</x:f>
        <x:v>9</x:v>
      </x:c>
      <x:c r="F26" s="2"/>
    </x:row>
    <x:row r="27" ht="24" customHeight="1">
      <x:c r="A27" s="20" t="str">
        <x:v>可交付訂單合計</x:v>
      </x:c>
      <x:c r="B27" s="20" t="str">
        <x:v>億元</x:v>
      </x:c>
      <x:c r="C27" s="21" t="n">
        <x:f>C24+C25+C26</x:f>
        <x:v>10</x:v>
      </x:c>
      <x:c r="D27" s="21" t="n">
        <x:f>D24+D25+D26</x:f>
        <x:v>18</x:v>
      </x:c>
      <x:c r="E27" s="21" t="n">
        <x:f>E24+E25+E26</x:f>
        <x:v>25</x:v>
      </x:c>
      <x:c r="F27" s="20"/>
    </x:row>
    <x:row r="28" ht="24" customHeight="1">
      <x:c r="A28" s="2" t="str">
        <x:v>OU交付容量</x:v>
      </x:c>
      <x:c r="B28" s="2" t="str">
        <x:v>億元</x:v>
      </x:c>
      <x:c r="C28" s="11" t="n">
        <x:f>'參數'!C20</x:f>
        <x:v>10</x:v>
      </x:c>
      <x:c r="D28" s="11" t="n">
        <x:f>'參數'!D20</x:f>
        <x:v>19</x:v>
      </x:c>
      <x:c r="E28" s="11" t="n">
        <x:f>'參數'!E20</x:f>
        <x:v>27.8</x:v>
      </x:c>
      <x:c r="F28" s="2"/>
    </x:row>
    <x:row r="29" ht="45" customHeight="1">
      <x:c r="A29" s="2" t="str">
        <x:v>可交付需求／容量</x:v>
      </x:c>
      <x:c r="B29" s="2" t="str">
        <x:v>倍</x:v>
      </x:c>
      <x:c r="C29" s="11" t="n">
        <x:f>IF(C28=0,0,C27/C28)</x:f>
        <x:v>1</x:v>
      </x:c>
      <x:c r="D29" s="11" t="n">
        <x:f>IF(D28=0,0,D27/D28)</x:f>
        <x:v>0.9473684210526315</x:v>
      </x:c>
      <x:c r="E29" s="11" t="n">
        <x:f>IF(E28=0,0,E27/E28)</x:f>
        <x:v>0.8992805755395683</x:v>
      </x:c>
      <x:c r="F29" s="12" t="str">
        <x:v>容量為0時此比值顯示0避免除零；請同看「產能不足未交付」。</x:v>
      </x:c>
    </x:row>
    <x:row r="30" ht="45" customHeight="1">
      <x:c r="A30" s="2" t="str">
        <x:v>超負荷毛利減損</x:v>
      </x:c>
      <x:c r="B30" s="2" t="str">
        <x:v>%</x:v>
      </x:c>
      <x:c r="C30" s="14" t="n">
        <x:f>MAX(0,C29-1)*'參數'!C28</x:f>
        <x:v>0</x:v>
      </x:c>
      <x:c r="D30" s="14" t="n">
        <x:f>MAX(0,D29-1)*'參數'!D28</x:f>
        <x:v>0</x:v>
      </x:c>
      <x:c r="E30" s="14" t="n">
        <x:f>MAX(0,E29-1)*'參數'!E28</x:f>
        <x:v>0</x:v>
      </x:c>
      <x:c r="F30" s="12" t="str">
        <x:v>MAX(需求／容量－1,0)×超負荷係數。</x:v>
      </x:c>
    </x:row>
    <x:row r="31" ht="24" customHeight="1">
      <x:c r="A31" s="2" t="str">
        <x:v>統包實現毛利率</x:v>
      </x:c>
      <x:c r="B31" s="2" t="str">
        <x:v>%</x:v>
      </x:c>
      <x:c r="C31" s="14" t="n">
        <x:f>1-(1-('參數'!C21+'參數'!C26))*(1+'參數'!C27)-C30</x:f>
        <x:v>0.12</x:v>
      </x:c>
      <x:c r="D31" s="14" t="n">
        <x:f>1-(1-('參數'!D21+'參數'!D26))*(1+'參數'!D27)-D30</x:f>
        <x:v>0.12</x:v>
      </x:c>
      <x:c r="E31" s="14" t="n">
        <x:f>1-(1-('參數'!E21+'參數'!E26))*(1+'參數'!E27)-E30</x:f>
        <x:v>0.12</x:v>
      </x:c>
      <x:c r="F31" s="2"/>
    </x:row>
    <x:row r="32" ht="45" customHeight="1">
      <x:c r="A32" s="2" t="str">
        <x:v>資管實現毛利率</x:v>
      </x:c>
      <x:c r="B32" s="2" t="str">
        <x:v>%</x:v>
      </x:c>
      <x:c r="C32" s="14" t="n">
        <x:f>1-(1-('參數'!C22+'參數'!C23*'參數'!C24+'參數'!C26))*(1+'參數'!C27)-C30</x:f>
        <x:v>0.17999999999999994</x:v>
      </x:c>
      <x:c r="D32" s="14" t="n">
        <x:f>1-(1-('參數'!D22+'參數'!D23*'參數'!D24+'參數'!D26))*(1+'參數'!D27)-D30</x:f>
        <x:v>0.17999999999999994</x:v>
      </x:c>
      <x:c r="E32" s="14" t="n">
        <x:f>1-(1-('參數'!E22+'參數'!E23*'參數'!E24+'參數'!E26))*(1+'參數'!E27)-E30</x:f>
        <x:v>0.17999999999999994</x:v>
      </x:c>
      <x:c r="F32" s="12" t="str">
        <x:v>工程毛利＋開發加成×實現率，再計毛利衝擊、成本漲價及壅塞。</x:v>
      </x:c>
    </x:row>
    <x:row r="33" ht="24" customHeight="1">
      <x:c r="A33" s="2" t="str">
        <x:v>AIDC實現毛利率</x:v>
      </x:c>
      <x:c r="B33" s="2" t="str">
        <x:v>%</x:v>
      </x:c>
      <x:c r="C33" s="14" t="n">
        <x:f>1-(1-('參數'!C25+'參數'!C26))*(1+'參數'!C27)-C30</x:f>
        <x:v>0.16000000000000003</x:v>
      </x:c>
      <x:c r="D33" s="14" t="n">
        <x:f>1-(1-('參數'!D25+'參數'!D26))*(1+'參數'!D27)-D30</x:f>
        <x:v>0.16000000000000003</x:v>
      </x:c>
      <x:c r="E33" s="14" t="n">
        <x:f>1-(1-('參數'!E25+'參數'!E26))*(1+'參數'!E27)-E30</x:f>
        <x:v>0.16000000000000003</x:v>
      </x:c>
      <x:c r="F33" s="2"/>
    </x:row>
    <x:row r="34" ht="24" customHeight="1">
      <x:c r="A34" s="2" t="str">
        <x:v>可交付組合毛利率</x:v>
      </x:c>
      <x:c r="B34" s="2" t="str">
        <x:v>%</x:v>
      </x:c>
      <x:c r="C34" s="14" t="n">
        <x:f>IF(C27=0,0,(C24*C31+C25*C32+C26*C33)/C27)</x:f>
        <x:v>0.15599999999999997</x:v>
      </x:c>
      <x:c r="D34" s="14" t="n">
        <x:f>IF(D27=0,0,(D24*D31+D25*D32+D26*D33)/D27)</x:f>
        <x:v>0.1571111111111111</x:v>
      </x:c>
      <x:c r="E34" s="14" t="n">
        <x:f>IF(E27=0,0,(E24*E31+E25*E32+E26*E33)/E27)</x:f>
        <x:v>0.15744</x:v>
      </x:c>
      <x:c r="F34" s="2"/>
    </x:row>
    <x:row r="35" ht="24" customHeight="1">
      <x:c r="A35" s="2" t="str">
        <x:v>期初可投入資金池</x:v>
      </x:c>
      <x:c r="B35" s="2" t="str">
        <x:v>億元</x:v>
      </x:c>
      <x:c r="C35" s="11" t="n">
        <x:f>'參數'!$C$43</x:f>
        <x:v>1</x:v>
      </x:c>
      <x:c r="D35" s="11" t="n">
        <x:f>C64</x:f>
        <x:v>1.4513731506849317</x:v>
      </x:c>
      <x:c r="E35" s="11" t="n">
        <x:f>D64</x:f>
        <x:v>2.358002656438356</x:v>
      </x:c>
      <x:c r="F35" s="2"/>
    </x:row>
    <x:row r="36" ht="45" customHeight="1">
      <x:c r="A36" s="2" t="str">
        <x:v>每元營收營運資金需求</x:v>
      </x:c>
      <x:c r="B36" s="2" t="str">
        <x:v>倍</x:v>
      </x:c>
      <x:c r="C36" s="11" t="n">
        <x:f>MAX(0,('參數'!C32-(1-C34)*'參數'!C33)/365)</x:f>
        <x:v>0.10783561643835614</x:v>
      </x:c>
      <x:c r="D36" s="11" t="n">
        <x:f>MAX(0,('參數'!D32-(1-D34)*'參數'!D33)/365)</x:f>
        <x:v>0.10801826484018263</x:v>
      </x:c>
      <x:c r="E36" s="11" t="n">
        <x:f>MAX(0,('參數'!E32-(1-E34)*'參數'!E33)/365)</x:f>
        <x:v>0.1080723287671233</x:v>
      </x:c>
      <x:c r="F36" s="12" t="str">
        <x:v>MAX((DSO－直接成本率×DPO)/365,0)，不把供應商淨融資當可自由投入現金。</x:v>
      </x:c>
    </x:row>
    <x:row r="37" ht="45" customHeight="1">
      <x:c r="A37" s="2" t="str">
        <x:v>資金可支持營收</x:v>
      </x:c>
      <x:c r="B37" s="2" t="str">
        <x:v>億元</x:v>
      </x:c>
      <x:c r="C37" s="11" t="n">
        <x:f>IF(C36=0,C27,(MAX(0,C35)+'參數'!C37)/C36)</x:f>
        <x:v>37.09349593495936</x:v>
      </x:c>
      <x:c r="D37" s="11" t="n">
        <x:f>IF(D36=0,D27,(MAX(0,D35)+'參數'!D37)/D36)</x:f>
        <x:v>41.20944876564086</x:v>
      </x:c>
      <x:c r="E37" s="11" t="n">
        <x:f>IF(E36=0,E27,(MAX(0,E35)+'參數'!E37)/E36)</x:f>
        <x:v>49.57793283037235</x:v>
      </x:c>
      <x:c r="F37" s="12" t="str">
        <x:v>(期初資金池＋額度)／每元營收資金需求，避免同年盈餘造成循環公式。</x:v>
      </x:c>
    </x:row>
    <x:row r="38" ht="45" customHeight="1">
      <x:c r="A38" s="20" t="str">
        <x:v>營業收入</x:v>
      </x:c>
      <x:c r="B38" s="20" t="str">
        <x:v>億元</x:v>
      </x:c>
      <x:c r="C38" s="21" t="n">
        <x:f>MIN(C27,C28,C37)</x:f>
        <x:v>10</x:v>
      </x:c>
      <x:c r="D38" s="21" t="n">
        <x:f>MIN(D27,D28,D37)</x:f>
        <x:v>18</x:v>
      </x:c>
      <x:c r="E38" s="21" t="n">
        <x:f>MIN(E27,E28,E37)</x:f>
        <x:v>25</x:v>
      </x:c>
      <x:c r="F38" s="22" t="str">
        <x:v>取可交付訂單、OU容量與資金容量三者最小值。</x:v>
      </x:c>
    </x:row>
    <x:row r="39" ht="45" customHeight="1">
      <x:c r="A39" s="2" t="str">
        <x:v>統包營收</x:v>
      </x:c>
      <x:c r="B39" s="2" t="str">
        <x:v>億元</x:v>
      </x:c>
      <x:c r="C39" s="11" t="n">
        <x:f>IF(C27=0,0,C38*C24/C27)</x:f>
        <x:v>4</x:v>
      </x:c>
      <x:c r="D39" s="11" t="n">
        <x:f>IF(D27=0,0,D38*D24/D27)</x:f>
        <x:v>5.2</x:v>
      </x:c>
      <x:c r="E39" s="11" t="n">
        <x:f>IF(E27=0,0,E38*E24/E27)</x:f>
        <x:v>6.4</x:v>
      </x:c>
      <x:c r="F39" s="12" t="str">
        <x:v>受限時按三軌可交付訂單比例分配；沒有逐案優先順序。</x:v>
      </x:c>
    </x:row>
    <x:row r="40" ht="24" customHeight="1">
      <x:c r="A40" s="2" t="str">
        <x:v>資管營收</x:v>
      </x:c>
      <x:c r="B40" s="2" t="str">
        <x:v>億元</x:v>
      </x:c>
      <x:c r="C40" s="11" t="n">
        <x:f>IF(C27=0,0,C38*C25/C27)</x:f>
        <x:v>6</x:v>
      </x:c>
      <x:c r="D40" s="11" t="n">
        <x:f>IF(D27=0,0,D38*D25/D27)</x:f>
        <x:v>7.800000000000001</x:v>
      </x:c>
      <x:c r="E40" s="11" t="n">
        <x:f>IF(E27=0,0,E38*E25/E27)</x:f>
        <x:v>9.600000000000001</x:v>
      </x:c>
      <x:c r="F40" s="2"/>
    </x:row>
    <x:row r="41" ht="24" customHeight="1">
      <x:c r="A41" s="2" t="str">
        <x:v>AIDC營收</x:v>
      </x:c>
      <x:c r="B41" s="2" t="str">
        <x:v>億元</x:v>
      </x:c>
      <x:c r="C41" s="11" t="n">
        <x:f>IF(C27=0,0,C38*C26/C27)</x:f>
        <x:v>0</x:v>
      </x:c>
      <x:c r="D41" s="11" t="n">
        <x:f>IF(D27=0,0,D38*D26/D27)</x:f>
        <x:v>5</x:v>
      </x:c>
      <x:c r="E41" s="11" t="n">
        <x:f>IF(E27=0,0,E38*E26/E27)</x:f>
        <x:v>9</x:v>
      </x:c>
      <x:c r="F41" s="2"/>
    </x:row>
    <x:row r="42" ht="24" customHeight="1">
      <x:c r="A42" s="2" t="str">
        <x:v>統包期末在手訂單</x:v>
      </x:c>
      <x:c r="B42" s="2" t="str">
        <x:v>億元</x:v>
      </x:c>
      <x:c r="C42" s="11" t="n">
        <x:f>C21+C11-C39</x:f>
        <x:v>0</x:v>
      </x:c>
      <x:c r="D42" s="11" t="n">
        <x:f>D21+D11-D39</x:f>
        <x:v>0</x:v>
      </x:c>
      <x:c r="E42" s="11" t="n">
        <x:f>E21+E11-E39</x:f>
        <x:v>0</x:v>
      </x:c>
      <x:c r="F42" s="2"/>
    </x:row>
    <x:row r="43" ht="24" customHeight="1">
      <x:c r="A43" s="2" t="str">
        <x:v>資管期末在手訂單</x:v>
      </x:c>
      <x:c r="B43" s="2" t="str">
        <x:v>億元</x:v>
      </x:c>
      <x:c r="C43" s="11" t="n">
        <x:f>C22+C12-C40</x:f>
        <x:v>0</x:v>
      </x:c>
      <x:c r="D43" s="11" t="n">
        <x:f>D22+D12-D40</x:f>
        <x:v>0</x:v>
      </x:c>
      <x:c r="E43" s="11" t="n">
        <x:f>E22+E12-E40</x:f>
        <x:v>0</x:v>
      </x:c>
      <x:c r="F43" s="2"/>
    </x:row>
    <x:row r="44" ht="24" customHeight="1">
      <x:c r="A44" s="2" t="str">
        <x:v>AIDC期末在手訂單</x:v>
      </x:c>
      <x:c r="B44" s="2" t="str">
        <x:v>億元</x:v>
      </x:c>
      <x:c r="C44" s="11" t="n">
        <x:f>C23+C13-C41</x:f>
        <x:v>10</x:v>
      </x:c>
      <x:c r="D44" s="11" t="n">
        <x:f>D23+D13-D41</x:f>
        <x:v>18</x:v>
      </x:c>
      <x:c r="E44" s="11" t="n">
        <x:f>E23+E13-E41</x:f>
        <x:v>25</x:v>
      </x:c>
      <x:c r="F44" s="2"/>
    </x:row>
    <x:row r="45" ht="45" customHeight="1">
      <x:c r="A45" s="20" t="str">
        <x:v>期末在手訂單合計</x:v>
      </x:c>
      <x:c r="B45" s="20" t="str">
        <x:v>億元</x:v>
      </x:c>
      <x:c r="C45" s="21" t="n">
        <x:f>C42+C43+C44</x:f>
        <x:v>10</x:v>
      </x:c>
      <x:c r="D45" s="21" t="n">
        <x:f>D42+D43+D44</x:f>
        <x:v>18</x:v>
      </x:c>
      <x:c r="E45" s="21" t="n">
        <x:f>E42+E43+E44</x:f>
        <x:v>25</x:v>
      </x:c>
      <x:c r="F45" s="22" t="str">
        <x:v>期初訂單＋簽約－交付，包含未成熟與受限制訂單。</x:v>
      </x:c>
    </x:row>
    <x:row r="46" ht="24" customHeight="1">
      <x:c r="A46" s="2" t="str">
        <x:v>直接成本</x:v>
      </x:c>
      <x:c r="B46" s="2" t="str">
        <x:v>億元</x:v>
      </x:c>
      <x:c r="C46" s="11" t="n">
        <x:f>C39*(1-C31)+C40*(1-C32)+C41*(1-C33)</x:f>
        <x:v>8.44</x:v>
      </x:c>
      <x:c r="D46" s="11" t="n">
        <x:f>D39*(1-D31)+D40*(1-D32)+D41*(1-D33)</x:f>
        <x:v>15.172</x:v>
      </x:c>
      <x:c r="E46" s="11" t="n">
        <x:f>E39*(1-E31)+E40*(1-E32)+E41*(1-E33)</x:f>
        <x:v>21.064</x:v>
      </x:c>
      <x:c r="F46" s="2"/>
    </x:row>
    <x:row r="47" ht="24" customHeight="1">
      <x:c r="A47" s="20" t="str">
        <x:v>營業毛利</x:v>
      </x:c>
      <x:c r="B47" s="20" t="str">
        <x:v>億元</x:v>
      </x:c>
      <x:c r="C47" s="21" t="n">
        <x:f>C38-C46</x:f>
        <x:v>1.5600000000000005</x:v>
      </x:c>
      <x:c r="D47" s="21" t="n">
        <x:f>D38-D46</x:f>
        <x:v>2.8279999999999994</x:v>
      </x:c>
      <x:c r="E47" s="21" t="n">
        <x:f>E38-E46</x:f>
        <x:v>3.936</x:v>
      </x:c>
      <x:c r="F47" s="20"/>
    </x:row>
    <x:row r="48" ht="24" customHeight="1">
      <x:c r="A48" s="2" t="str">
        <x:v>毛利率</x:v>
      </x:c>
      <x:c r="B48" s="2" t="str">
        <x:v>%</x:v>
      </x:c>
      <x:c r="C48" s="14" t="n">
        <x:f>IF(C38=0,0,C47/C38)</x:f>
        <x:v>0.15600000000000006</x:v>
      </x:c>
      <x:c r="D48" s="14" t="n">
        <x:f>IF(D38=0,0,D47/D38)</x:f>
        <x:v>0.1571111111111111</x:v>
      </x:c>
      <x:c r="E48" s="14" t="n">
        <x:f>IF(E38=0,0,E47/E38)</x:f>
        <x:v>0.15744</x:v>
      </x:c>
      <x:c r="F48" s="2"/>
    </x:row>
    <x:row r="49" ht="24" customHeight="1">
      <x:c r="A49" s="2" t="str">
        <x:v>人力費用</x:v>
      </x:c>
      <x:c r="B49" s="2" t="str">
        <x:v>億元</x:v>
      </x:c>
      <x:c r="C49" s="11" t="n">
        <x:f>'參數'!C29*'參數'!C30</x:f>
        <x:v>0.22</x:v>
      </x:c>
      <x:c r="D49" s="11" t="n">
        <x:f>'參數'!D29*'參數'!D30</x:f>
        <x:v>0.3</x:v>
      </x:c>
      <x:c r="E49" s="11" t="n">
        <x:f>'參數'!E29*'參數'!E30</x:f>
        <x:v>0.4</x:v>
      </x:c>
      <x:c r="F49" s="2"/>
    </x:row>
    <x:row r="50" ht="24" customHeight="1">
      <x:c r="A50" s="2" t="str">
        <x:v>其他營業費用</x:v>
      </x:c>
      <x:c r="B50" s="2" t="str">
        <x:v>億元</x:v>
      </x:c>
      <x:c r="C50" s="11" t="n">
        <x:f>'參數'!C31</x:f>
        <x:v>0.23</x:v>
      </x:c>
      <x:c r="D50" s="11" t="n">
        <x:f>'參數'!D31</x:f>
        <x:v>0.3</x:v>
      </x:c>
      <x:c r="E50" s="11" t="n">
        <x:f>'參數'!E31</x:f>
        <x:v>0.4</x:v>
      </x:c>
      <x:c r="F50" s="2"/>
    </x:row>
    <x:row r="51" ht="24" customHeight="1">
      <x:c r="A51" s="20" t="str">
        <x:v>營業費用合計</x:v>
      </x:c>
      <x:c r="B51" s="20" t="str">
        <x:v>億元</x:v>
      </x:c>
      <x:c r="C51" s="21" t="n">
        <x:f>C49+C50</x:f>
        <x:v>0.45</x:v>
      </x:c>
      <x:c r="D51" s="21" t="n">
        <x:f>D49+D50</x:f>
        <x:v>0.6</x:v>
      </x:c>
      <x:c r="E51" s="21" t="n">
        <x:f>E49+E50</x:f>
        <x:v>0.8</x:v>
      </x:c>
      <x:c r="F51" s="20"/>
    </x:row>
    <x:row r="52" ht="24" customHeight="1">
      <x:c r="A52" s="20" t="str">
        <x:v>營業利益</x:v>
      </x:c>
      <x:c r="B52" s="20" t="str">
        <x:v>億元</x:v>
      </x:c>
      <x:c r="C52" s="21" t="n">
        <x:f>C47-C51</x:f>
        <x:v>1.1100000000000005</x:v>
      </x:c>
      <x:c r="D52" s="21" t="n">
        <x:f>D47-D51</x:f>
        <x:v>2.2279999999999993</x:v>
      </x:c>
      <x:c r="E52" s="21" t="n">
        <x:f>E47-E51</x:f>
        <x:v>3.136</x:v>
      </x:c>
      <x:c r="F52" s="20"/>
    </x:row>
    <x:row r="53" ht="24" customHeight="1">
      <x:c r="A53" s="2" t="str">
        <x:v>營運資金占用</x:v>
      </x:c>
      <x:c r="B53" s="2" t="str">
        <x:v>億元</x:v>
      </x:c>
      <x:c r="C53" s="11" t="n">
        <x:f>C38*C36</x:f>
        <x:v>1.0783561643835613</x:v>
      </x:c>
      <x:c r="D53" s="11" t="n">
        <x:f>D38*D36</x:f>
        <x:v>1.9443287671232874</x:v>
      </x:c>
      <x:c r="E53" s="11" t="n">
        <x:f>E38*E36</x:f>
        <x:v>2.7018082191780826</x:v>
      </x:c>
      <x:c r="F53" s="2"/>
    </x:row>
    <x:row r="54" ht="24" customHeight="1">
      <x:c r="A54" s="2" t="str">
        <x:v>期初借款</x:v>
      </x:c>
      <x:c r="B54" s="2" t="str">
        <x:v>億元</x:v>
      </x:c>
      <x:c r="C54" s="11" t="n">
        <x:f>0</x:f>
        <x:v>0</x:v>
      </x:c>
      <x:c r="D54" s="11" t="n">
        <x:f>C55</x:f>
        <x:v>0.0783561643835613</x:v>
      </x:c>
      <x:c r="E54" s="11" t="n">
        <x:f>D55</x:f>
        <x:v>0.4929556164383557</x:v>
      </x:c>
      <x:c r="F54" s="2"/>
    </x:row>
    <x:row r="55" ht="24" customHeight="1">
      <x:c r="A55" s="2" t="str">
        <x:v>期末借款</x:v>
      </x:c>
      <x:c r="B55" s="2" t="str">
        <x:v>億元</x:v>
      </x:c>
      <x:c r="C55" s="11" t="n">
        <x:f>MAX(0,C53-MAX(0,C35))</x:f>
        <x:v>0.0783561643835613</x:v>
      </x:c>
      <x:c r="D55" s="11" t="n">
        <x:f>MAX(0,D53-MAX(0,D35))</x:f>
        <x:v>0.4929556164383557</x:v>
      </x:c>
      <x:c r="E55" s="11" t="n">
        <x:f>MAX(0,E53-MAX(0,E35))</x:f>
        <x:v>0.3438055627397265</x:v>
      </x:c>
      <x:c r="F55" s="2"/>
    </x:row>
    <x:row r="56" ht="45" customHeight="1">
      <x:c r="A56" s="2" t="str">
        <x:v>平均借款</x:v>
      </x:c>
      <x:c r="B56" s="2" t="str">
        <x:v>億元</x:v>
      </x:c>
      <x:c r="C56" s="11" t="n">
        <x:f>(C54+C55)/2</x:f>
        <x:v>0.03917808219178065</x:v>
      </x:c>
      <x:c r="D56" s="11" t="n">
        <x:f>(D54+D55)/2</x:f>
        <x:v>0.2856558904109585</x:v>
      </x:c>
      <x:c r="E56" s="11" t="n">
        <x:f>(E54+E55)/2</x:f>
        <x:v>0.4183805895890411</x:v>
      </x:c>
      <x:c r="F56" s="12" t="str">
        <x:v>期初與期末借款平均估算利息；不是逐月借款排程。</x:v>
      </x:c>
    </x:row>
    <x:row r="57" ht="24" customHeight="1">
      <x:c r="A57" s="2" t="str">
        <x:v>利息費用</x:v>
      </x:c>
      <x:c r="B57" s="2" t="str">
        <x:v>億元</x:v>
      </x:c>
      <x:c r="C57" s="11" t="n">
        <x:f>C56*'參數'!C34</x:f>
        <x:v>0.001567123287671226</x:v>
      </x:c>
      <x:c r="D57" s="11" t="n">
        <x:f>D56*'參數'!D34</x:f>
        <x:v>0.011426235616438341</x:v>
      </x:c>
      <x:c r="E57" s="11" t="n">
        <x:f>E56*'參數'!E34</x:f>
        <x:v>0.016735223583561644</x:v>
      </x:c>
      <x:c r="F57" s="2"/>
    </x:row>
    <x:row r="58" ht="45" customHeight="1">
      <x:c r="A58" s="2" t="str">
        <x:v>其他業外淨收入</x:v>
      </x:c>
      <x:c r="B58" s="2" t="str">
        <x:v>億元</x:v>
      </x:c>
      <x:c r="C58" s="11" t="n">
        <x:f>'參數'!C36</x:f>
        <x:v>0.02</x:v>
      </x:c>
      <x:c r="D58" s="11" t="n">
        <x:f>'參數'!D36</x:f>
        <x:v>0.05</x:v>
      </x:c>
      <x:c r="E58" s="11" t="n">
        <x:f>'參數'!E36</x:f>
        <x:v>0.08</x:v>
      </x:c>
      <x:c r="F58" s="12" t="str">
        <x:v>網站稅前減營業利益；另外扣除本模型借款利息。</x:v>
      </x:c>
    </x:row>
    <x:row r="59" ht="24" customHeight="1">
      <x:c r="A59" s="2" t="str">
        <x:v>稅前淨利</x:v>
      </x:c>
      <x:c r="B59" s="2" t="str">
        <x:v>億元</x:v>
      </x:c>
      <x:c r="C59" s="11" t="n">
        <x:f>C52+C58-C57</x:f>
        <x:v>1.1284328767123293</x:v>
      </x:c>
      <x:c r="D59" s="11" t="n">
        <x:f>D52+D58-D57</x:f>
        <x:v>2.2665737643835606</x:v>
      </x:c>
      <x:c r="E59" s="11" t="n">
        <x:f>E52+E58-E57</x:f>
        <x:v>3.1992647764164386</x:v>
      </x:c>
      <x:c r="F59" s="2"/>
    </x:row>
    <x:row r="60" ht="24" customHeight="1">
      <x:c r="A60" s="2" t="str">
        <x:v>所得稅費用</x:v>
      </x:c>
      <x:c r="B60" s="2" t="str">
        <x:v>億元</x:v>
      </x:c>
      <x:c r="C60" s="11" t="n">
        <x:f>MAX(0,C59)*'參數'!C35</x:f>
        <x:v>0.22568657534246586</x:v>
      </x:c>
      <x:c r="D60" s="11" t="n">
        <x:f>MAX(0,D59)*'參數'!D35</x:f>
        <x:v>0.45331475287671213</x:v>
      </x:c>
      <x:c r="E60" s="11" t="n">
        <x:f>MAX(0,E59)*'參數'!E35</x:f>
        <x:v>0.6398529552832878</x:v>
      </x:c>
      <x:c r="F60" s="2"/>
    </x:row>
    <x:row r="61" ht="24" customHeight="1">
      <x:c r="A61" s="20" t="str">
        <x:v>稅後淨利</x:v>
      </x:c>
      <x:c r="B61" s="20" t="str">
        <x:v>億元</x:v>
      </x:c>
      <x:c r="C61" s="21" t="n">
        <x:f>C59-C60</x:f>
        <x:v>0.9027463013698634</x:v>
      </x:c>
      <x:c r="D61" s="21" t="n">
        <x:f>D59-D60</x:f>
        <x:v>1.8132590115068485</x:v>
      </x:c>
      <x:c r="E61" s="21" t="n">
        <x:f>E59-E60</x:f>
        <x:v>2.5594118211331507</x:v>
      </x:c>
      <x:c r="F61" s="20"/>
    </x:row>
    <x:row r="62" ht="24" customHeight="1">
      <x:c r="A62" s="2" t="str">
        <x:v>淨利率</x:v>
      </x:c>
      <x:c r="B62" s="2" t="str">
        <x:v>%</x:v>
      </x:c>
      <x:c r="C62" s="14" t="n">
        <x:f>IF(C38=0,0,C61/C38)</x:f>
        <x:v>0.09027463013698635</x:v>
      </x:c>
      <x:c r="D62" s="14" t="n">
        <x:f>IF(D38=0,0,D61/D38)</x:f>
        <x:v>0.10073661175038047</x:v>
      </x:c>
      <x:c r="E62" s="14" t="n">
        <x:f>IF(E38=0,0,E61/E38)</x:f>
        <x:v>0.10237647284532603</x:v>
      </x:c>
      <x:c r="F62" s="2"/>
    </x:row>
    <x:row r="63" ht="24" customHeight="1">
      <x:c r="A63" s="2" t="str">
        <x:v>資金池增減</x:v>
      </x:c>
      <x:c r="B63" s="2" t="str">
        <x:v>億元</x:v>
      </x:c>
      <x:c r="C63" s="11" t="n">
        <x:f>IF(C61&gt;=0,C61*'參數'!C38,C61)</x:f>
        <x:v>0.4513731506849317</x:v>
      </x:c>
      <x:c r="D63" s="11" t="n">
        <x:f>IF(D61&gt;=0,D61*'參數'!D38,D61)</x:f>
        <x:v>0.9066295057534243</x:v>
      </x:c>
      <x:c r="E63" s="11" t="n">
        <x:f>IF(E61&gt;=0,E61*'參數'!E38,E61)</x:f>
        <x:v>1.2797059105665753</x:v>
      </x:c>
      <x:c r="F63" s="2"/>
    </x:row>
    <x:row r="64" ht="45" customHeight="1">
      <x:c r="A64" s="20" t="str">
        <x:v>期末可投入資金池</x:v>
      </x:c>
      <x:c r="B64" s="20" t="str">
        <x:v>億元</x:v>
      </x:c>
      <x:c r="C64" s="21" t="n">
        <x:f>C35+C63</x:f>
        <x:v>1.4513731506849317</x:v>
      </x:c>
      <x:c r="D64" s="21" t="n">
        <x:f>D35+D63</x:f>
        <x:v>2.358002656438356</x:v>
      </x:c>
      <x:c r="E64" s="21" t="n">
        <x:f>E35+E63</x:f>
        <x:v>3.6377085670049314</x:v>
      </x:c>
      <x:c r="F64" s="22" t="str">
        <x:v>期初資金＋正淨利×保留率；虧損全額扣除，次年生效。不是現金餘額。</x:v>
      </x:c>
    </x:row>
    <x:row r="65" ht="24" customHeight="1">
      <x:c r="A65" s="2" t="str">
        <x:v>產能不足未交付</x:v>
      </x:c>
      <x:c r="B65" s="2" t="str">
        <x:v>億元</x:v>
      </x:c>
      <x:c r="C65" s="11" t="n">
        <x:f>MAX(0,C27-C28)</x:f>
        <x:v>0</x:v>
      </x:c>
      <x:c r="D65" s="11" t="n">
        <x:f>MAX(0,D27-D28)</x:f>
        <x:v>0</x:v>
      </x:c>
      <x:c r="E65" s="11" t="n">
        <x:f>MAX(0,E27-E28)</x:f>
        <x:v>0</x:v>
      </x:c>
      <x:c r="F65" s="2"/>
    </x:row>
    <x:row r="66" ht="45" customHeight="1">
      <x:c r="A66" s="2" t="str">
        <x:v>資金限制未交付</x:v>
      </x:c>
      <x:c r="B66" s="2" t="str">
        <x:v>億元</x:v>
      </x:c>
      <x:c r="C66" s="11" t="n">
        <x:f>MAX(0,MIN(C27,C28)-C38)</x:f>
        <x:v>0</x:v>
      </x:c>
      <x:c r="D66" s="11" t="n">
        <x:f>MAX(0,MIN(D27,D28)-D38)</x:f>
        <x:v>0</x:v>
      </x:c>
      <x:c r="E66" s="11" t="n">
        <x:f>MAX(0,MIN(E27,E28)-E38)</x:f>
        <x:v>0</x:v>
      </x:c>
      <x:c r="F66" s="12" t="str">
        <x:v>未交付金額留在訂單存量，不直接當作財務損失。</x:v>
      </x:c>
    </x:row>
    <x:row r="67" ht="24" customHeight="1">
      <x:c r="A67" s="2"/>
      <x:c r="B67" s="2"/>
      <x:c r="C67" s="2"/>
      <x:c r="D67" s="2"/>
      <x:c r="E67" s="2"/>
      <x:c r="F67" s="2"/>
    </x:row>
    <x:row r="68" ht="24" customHeight="1">
      <x:c r="A68" s="2"/>
      <x:c r="B68" s="2"/>
      <x:c r="C68" s="2"/>
      <x:c r="D68" s="2"/>
      <x:c r="E68" s="2"/>
      <x:c r="F68" s="2"/>
    </x:row>
    <x:row r="69" ht="24" customHeight="1">
      <x:c r="A69" s="2"/>
      <x:c r="B69" s="2"/>
      <x:c r="C69" s="2"/>
      <x:c r="D69" s="2"/>
      <x:c r="E69" s="2"/>
      <x:c r="F69" s="2"/>
    </x:row>
    <x:row r="70" ht="34" customHeight="1">
      <x:c r="A70" s="7" t="str">
        <x:v>一致性與輸入檢查</x:v>
      </x:c>
      <x:c r="B70" s="7"/>
      <x:c r="C70" s="7"/>
      <x:c r="D70" s="7"/>
      <x:c r="E70" s="7"/>
      <x:c r="F70" s="7" t="str">
        <x:v>差額與違規數皆應為0。</x:v>
      </x:c>
    </x:row>
    <x:row r="71" ht="24" customHeight="1">
      <x:c r="A71" s="2"/>
      <x:c r="B71" s="2"/>
      <x:c r="C71" s="2"/>
      <x:c r="D71" s="2"/>
      <x:c r="E71" s="2"/>
      <x:c r="F71" s="2"/>
    </x:row>
    <x:row r="72" ht="24" customHeight="1">
      <x:c r="A72" s="2" t="str">
        <x:v>案源存量平衡差</x:v>
      </x:c>
      <x:c r="B72" s="2"/>
      <x:c r="C72" s="11" t="n">
        <x:f>C5+C6+C7+('參數'!C5+'參數'!C6+'參數'!C7)*'參數'!C8-C14-C15-C16-C17-C18-C19-C20</x:f>
        <x:v>0</x:v>
      </x:c>
      <x:c r="D72" s="11" t="n">
        <x:f>D5+D6+D7+('參數'!D5+'參數'!D6+'參數'!D7)*'參數'!D8-D14-D15-D16-D17-D18-D19-D20</x:f>
        <x:v>-7.105427357601002e-15</x:v>
      </x:c>
      <x:c r="E72" s="11" t="n">
        <x:f>E5+E6+E7+('參數'!E5+'參數'!E6+'參數'!E7)*'參數'!E8-E14-E15-E16-E17-E18-E19-E20</x:f>
        <x:v>0</x:v>
      </x:c>
      <x:c r="F72" s="2"/>
    </x:row>
    <x:row r="73" ht="24" customHeight="1">
      <x:c r="A73" s="2" t="str">
        <x:v>訂單存量平衡差</x:v>
      </x:c>
      <x:c r="B73" s="2"/>
      <x:c r="C73" s="11" t="n">
        <x:f>C21+C22+C23+C14-C38-C45</x:f>
        <x:v>0</x:v>
      </x:c>
      <x:c r="D73" s="11" t="n">
        <x:f>D21+D22+D23+D14-D38-D45</x:f>
        <x:v>0</x:v>
      </x:c>
      <x:c r="E73" s="11" t="n">
        <x:f>E21+E22+E23+E14-E38-E45</x:f>
        <x:v>0</x:v>
      </x:c>
      <x:c r="F73" s="2"/>
    </x:row>
    <x:row r="74" ht="24" customHeight="1">
      <x:c r="A74" s="2" t="str">
        <x:v>分軌營收加總差</x:v>
      </x:c>
      <x:c r="B74" s="2"/>
      <x:c r="C74" s="11" t="n">
        <x:f>C38-C39-C40-C41</x:f>
        <x:v>0</x:v>
      </x:c>
      <x:c r="D74" s="11" t="n">
        <x:f>D38-D39-D40-D41</x:f>
        <x:v>0</x:v>
      </x:c>
      <x:c r="E74" s="11" t="n">
        <x:f>E38-E39-E40-E41</x:f>
        <x:v>0</x:v>
      </x:c>
      <x:c r="F74" s="2"/>
    </x:row>
    <x:row r="75" ht="24" customHeight="1">
      <x:c r="A75" s="2" t="str">
        <x:v>借款超過額度</x:v>
      </x:c>
      <x:c r="B75" s="2"/>
      <x:c r="C75" s="11" t="n">
        <x:f>MAX(0,C55-'參數'!C37)</x:f>
        <x:v>0</x:v>
      </x:c>
      <x:c r="D75" s="11" t="n">
        <x:f>MAX(0,D55-'參數'!D37)</x:f>
        <x:v>0</x:v>
      </x:c>
      <x:c r="E75" s="11" t="n">
        <x:f>MAX(0,E55-'參數'!E37)</x:f>
        <x:v>0</x:v>
      </x:c>
      <x:c r="F75" s="2"/>
    </x:row>
    <x:row r="76" ht="24" customHeight="1">
      <x:c r="A76" s="2" t="str">
        <x:v>毛利率超過100%數</x:v>
      </x:c>
      <x:c r="B76" s="2"/>
      <x:c r="C76" s="11" t="n">
        <x:f>IF(C31&gt;1,1,0)+IF(C32&gt;1,1,0)+IF(C33&gt;1,1,0)</x:f>
        <x:v>0</x:v>
      </x:c>
      <x:c r="D76" s="11" t="n">
        <x:f>IF(D31&gt;1,1,0)+IF(D32&gt;1,1,0)+IF(D33&gt;1,1,0)</x:f>
        <x:v>0</x:v>
      </x:c>
      <x:c r="E76" s="11" t="n">
        <x:f>IF(E31&gt;1,1,0)+IF(E32&gt;1,1,0)+IF(E33&gt;1,1,0)</x:f>
        <x:v>0</x:v>
      </x:c>
      <x:c r="F76" s="2"/>
    </x:row>
    <x:row r="77" ht="24" customHeight="1">
      <x:c r="A77" s="2" t="str">
        <x:v>年度輸入空白數</x:v>
      </x:c>
      <x:c r="B77" s="2"/>
      <x:c r="C77" s="11" t="n">
        <x:f>COUNTBLANK('參數'!C5:C38)</x:f>
        <x:v>0</x:v>
      </x:c>
      <x:c r="D77" s="11" t="n">
        <x:f>COUNTBLANK('參數'!D5:D38)</x:f>
        <x:v>0</x:v>
      </x:c>
      <x:c r="E77" s="11" t="n">
        <x:f>COUNTBLANK('參數'!E5:E38)</x:f>
        <x:v>0</x:v>
      </x:c>
      <x:c r="F77" s="2"/>
    </x:row>
    <x:row r="78" ht="24" customHeight="1">
      <x:c r="A78" s="2" t="str">
        <x:v>年度輸入超出範圍數</x:v>
      </x:c>
      <x:c r="B78" s="2"/>
      <x:c r="C78" s="11" t="n">
        <x:f>IF(OR('參數'!C5&lt;'參數'!$F$5,'參數'!C5&gt;'參數'!$G$5),1,0)+IF(OR('參數'!C6&lt;'參數'!$F$6,'參數'!C6&gt;'參數'!$G$6),1,0)+IF(OR('參數'!C7&lt;'參數'!$F$7,'參數'!C7&gt;'參數'!$G$7),1,0)+IF(OR('參數'!C8&lt;'參數'!$F$8,'參數'!C8&gt;'參數'!$G$8),1,0)+IF(OR('參數'!C9&lt;'參數'!$F$9,'參數'!C9&gt;'參數'!$G$9),1,0)+IF(OR('參數'!C10&lt;'參數'!$F$10,'參數'!C10&gt;'參數'!$G$10),1,0)+IF(OR('參數'!C11&lt;'參數'!$F$11,'參數'!C11&gt;'參數'!$G$11),1,0)+IF(OR('參數'!C12&lt;'參數'!$F$12,'參數'!C12&gt;'參數'!$G$12),1,0)+IF(OR('參數'!C13&lt;'參數'!$F$13,'參數'!C13&gt;'參數'!$G$13),1,0)+IF(OR('參數'!C14&lt;'參數'!$F$14,'參數'!C14&gt;'參數'!$G$14),1,0)+IF(OR('參數'!C15&lt;'參數'!$F$15,'參數'!C15&gt;'參數'!$G$15),1,0)+IF(OR('參數'!C16&lt;'參數'!$F$16,'參數'!C16&gt;'參數'!$G$16),1,0)+IF(OR('參數'!C17&lt;'參數'!$F$17,'參數'!C17&gt;'參數'!$G$17),1,0)+IF(OR('參數'!C18&lt;'參數'!$F$18,'參數'!C18&gt;'參數'!$G$18),1,0)+IF(OR('參數'!C19&lt;'參數'!$F$19,'參數'!C19&gt;'參數'!$G$19),1,0)+IF(OR('參數'!C20&lt;'參數'!$F$20,'參數'!C20&gt;'參數'!$G$20),1,0)+IF(OR('參數'!C21&lt;'參數'!$F$21,'參數'!C21&gt;'參數'!$G$21),1,0)+IF(OR('參數'!C22&lt;'參數'!$F$22,'參數'!C22&gt;'參數'!$G$22),1,0)+IF(OR('參數'!C23&lt;'參數'!$F$23,'參數'!C23&gt;'參數'!$G$23),1,0)+IF(OR('參數'!C24&lt;'參數'!$F$24,'參數'!C24&gt;'參數'!$G$24),1,0)+IF(OR('參數'!C25&lt;'參數'!$F$25,'參數'!C25&gt;'參數'!$G$25),1,0)+IF(OR('參數'!C26&lt;'參數'!$F$26,'參數'!C26&gt;'參數'!$G$26),1,0)+IF(OR('參數'!C27&lt;'參數'!$F$27,'參數'!C27&gt;'參數'!$G$27),1,0)+IF(OR('參數'!C28&lt;'參數'!$F$28,'參數'!C28&gt;'參數'!$G$28),1,0)+IF(OR('參數'!C29&lt;'參數'!$F$29,'參數'!C29&gt;'參數'!$G$29),1,0)+IF(OR('參數'!C30&lt;'參數'!$F$30,'參數'!C30&gt;'參數'!$G$30),1,0)+IF(OR('參數'!C31&lt;'參數'!$F$31,'參數'!C31&gt;'參數'!$G$31),1,0)+IF(OR('參數'!C32&lt;'參數'!$F$32,'參數'!C32&gt;'參數'!$G$32),1,0)+IF(OR('參數'!C33&lt;'參數'!$F$33,'參數'!C33&gt;'參數'!$G$33),1,0)+IF(OR('參數'!C34&lt;'參數'!$F$34,'參數'!C34&gt;'參數'!$G$34),1,0)+IF(OR('參數'!C35&lt;'參數'!$F$35,'參數'!C35&gt;'參數'!$G$35),1,0)+IF(OR('參數'!C36&lt;'參數'!$F$36,'參數'!C36&gt;'參數'!$G$36),1,0)+IF(OR('參數'!C37&lt;'參數'!$F$37,'參數'!C37&gt;'參數'!$G$37),1,0)+IF(OR('參數'!C38&lt;'參數'!$F$38,'參數'!C38&gt;'參數'!$G$38),1,0)</x:f>
        <x:v>0</x:v>
      </x:c>
      <x:c r="D78" s="11" t="n">
        <x:f>IF(OR('參數'!D5&lt;'參數'!$F$5,'參數'!D5&gt;'參數'!$G$5),1,0)+IF(OR('參數'!D6&lt;'參數'!$F$6,'參數'!D6&gt;'參數'!$G$6),1,0)+IF(OR('參數'!D7&lt;'參數'!$F$7,'參數'!D7&gt;'參數'!$G$7),1,0)+IF(OR('參數'!D8&lt;'參數'!$F$8,'參數'!D8&gt;'參數'!$G$8),1,0)+IF(OR('參數'!D9&lt;'參數'!$F$9,'參數'!D9&gt;'參數'!$G$9),1,0)+IF(OR('參數'!D10&lt;'參數'!$F$10,'參數'!D10&gt;'參數'!$G$10),1,0)+IF(OR('參數'!D11&lt;'參數'!$F$11,'參數'!D11&gt;'參數'!$G$11),1,0)+IF(OR('參數'!D12&lt;'參數'!$F$12,'參數'!D12&gt;'參數'!$G$12),1,0)+IF(OR('參數'!D13&lt;'參數'!$F$13,'參數'!D13&gt;'參數'!$G$13),1,0)+IF(OR('參數'!D14&lt;'參數'!$F$14,'參數'!D14&gt;'參數'!$G$14),1,0)+IF(OR('參數'!D15&lt;'參數'!$F$15,'參數'!D15&gt;'參數'!$G$15),1,0)+IF(OR('參數'!D16&lt;'參數'!$F$16,'參數'!D16&gt;'參數'!$G$16),1,0)+IF(OR('參數'!D17&lt;'參數'!$F$17,'參數'!D17&gt;'參數'!$G$17),1,0)+IF(OR('參數'!D18&lt;'參數'!$F$18,'參數'!D18&gt;'參數'!$G$18),1,0)+IF(OR('參數'!D19&lt;'參數'!$F$19,'參數'!D19&gt;'參數'!$G$19),1,0)+IF(OR('參數'!D20&lt;'參數'!$F$20,'參數'!D20&gt;'參數'!$G$20),1,0)+IF(OR('參數'!D21&lt;'參數'!$F$21,'參數'!D21&gt;'參數'!$G$21),1,0)+IF(OR('參數'!D22&lt;'參數'!$F$22,'參數'!D22&gt;'參數'!$G$22),1,0)+IF(OR('參數'!D23&lt;'參數'!$F$23,'參數'!D23&gt;'參數'!$G$23),1,0)+IF(OR('參數'!D24&lt;'參數'!$F$24,'參數'!D24&gt;'參數'!$G$24),1,0)+IF(OR('參數'!D25&lt;'參數'!$F$25,'參數'!D25&gt;'參數'!$G$25),1,0)+IF(OR('參數'!D26&lt;'參數'!$F$26,'參數'!D26&gt;'參數'!$G$26),1,0)+IF(OR('參數'!D27&lt;'參數'!$F$27,'參數'!D27&gt;'參數'!$G$27),1,0)+IF(OR('參數'!D28&lt;'參數'!$F$28,'參數'!D28&gt;'參數'!$G$28),1,0)+IF(OR('參數'!D29&lt;'參數'!$F$29,'參數'!D29&gt;'參數'!$G$29),1,0)+IF(OR('參數'!D30&lt;'參數'!$F$30,'參數'!D30&gt;'參數'!$G$30),1,0)+IF(OR('參數'!D31&lt;'參數'!$F$31,'參數'!D31&gt;'參數'!$G$31),1,0)+IF(OR('參數'!D32&lt;'參數'!$F$32,'參數'!D32&gt;'參數'!$G$32),1,0)+IF(OR('參數'!D33&lt;'參數'!$F$33,'參數'!D33&gt;'參數'!$G$33),1,0)+IF(OR('參數'!D34&lt;'參數'!$F$34,'參數'!D34&gt;'參數'!$G$34),1,0)+IF(OR('參數'!D35&lt;'參數'!$F$35,'參數'!D35&gt;'參數'!$G$35),1,0)+IF(OR('參數'!D36&lt;'參數'!$F$36,'參數'!D36&gt;'參數'!$G$36),1,0)+IF(OR('參數'!D37&lt;'參數'!$F$37,'參數'!D37&gt;'參數'!$G$37),1,0)+IF(OR('參數'!D38&lt;'參數'!$F$38,'參數'!D38&gt;'參數'!$G$38),1,0)</x:f>
        <x:v>0</x:v>
      </x:c>
      <x:c r="E78" s="11" t="n">
        <x:f>IF(OR('參數'!E5&lt;'參數'!$F$5,'參數'!E5&gt;'參數'!$G$5),1,0)+IF(OR('參數'!E6&lt;'參數'!$F$6,'參數'!E6&gt;'參數'!$G$6),1,0)+IF(OR('參數'!E7&lt;'參數'!$F$7,'參數'!E7&gt;'參數'!$G$7),1,0)+IF(OR('參數'!E8&lt;'參數'!$F$8,'參數'!E8&gt;'參數'!$G$8),1,0)+IF(OR('參數'!E9&lt;'參數'!$F$9,'參數'!E9&gt;'參數'!$G$9),1,0)+IF(OR('參數'!E10&lt;'參數'!$F$10,'參數'!E10&gt;'參數'!$G$10),1,0)+IF(OR('參數'!E11&lt;'參數'!$F$11,'參數'!E11&gt;'參數'!$G$11),1,0)+IF(OR('參數'!E12&lt;'參數'!$F$12,'參數'!E12&gt;'參數'!$G$12),1,0)+IF(OR('參數'!E13&lt;'參數'!$F$13,'參數'!E13&gt;'參數'!$G$13),1,0)+IF(OR('參數'!E14&lt;'參數'!$F$14,'參數'!E14&gt;'參數'!$G$14),1,0)+IF(OR('參數'!E15&lt;'參數'!$F$15,'參數'!E15&gt;'參數'!$G$15),1,0)+IF(OR('參數'!E16&lt;'參數'!$F$16,'參數'!E16&gt;'參數'!$G$16),1,0)+IF(OR('參數'!E17&lt;'參數'!$F$17,'參數'!E17&gt;'參數'!$G$17),1,0)+IF(OR('參數'!E18&lt;'參數'!$F$18,'參數'!E18&gt;'參數'!$G$18),1,0)+IF(OR('參數'!E19&lt;'參數'!$F$19,'參數'!E19&gt;'參數'!$G$19),1,0)+IF(OR('參數'!E20&lt;'參數'!$F$20,'參數'!E20&gt;'參數'!$G$20),1,0)+IF(OR('參數'!E21&lt;'參數'!$F$21,'參數'!E21&gt;'參數'!$G$21),1,0)+IF(OR('參數'!E22&lt;'參數'!$F$22,'參數'!E22&gt;'參數'!$G$22),1,0)+IF(OR('參數'!E23&lt;'參數'!$F$23,'參數'!E23&gt;'參數'!$G$23),1,0)+IF(OR('參數'!E24&lt;'參數'!$F$24,'參數'!E24&gt;'參數'!$G$24),1,0)+IF(OR('參數'!E25&lt;'參數'!$F$25,'參數'!E25&gt;'參數'!$G$25),1,0)+IF(OR('參數'!E26&lt;'參數'!$F$26,'參數'!E26&gt;'參數'!$G$26),1,0)+IF(OR('參數'!E27&lt;'參數'!$F$27,'參數'!E27&gt;'參數'!$G$27),1,0)+IF(OR('參數'!E28&lt;'參數'!$F$28,'參數'!E28&gt;'參數'!$G$28),1,0)+IF(OR('參數'!E29&lt;'參數'!$F$29,'參數'!E29&gt;'參數'!$G$29),1,0)+IF(OR('參數'!E30&lt;'參數'!$F$30,'參數'!E30&gt;'參數'!$G$30),1,0)+IF(OR('參數'!E31&lt;'參數'!$F$31,'參數'!E31&gt;'參數'!$G$31),1,0)+IF(OR('參數'!E32&lt;'參數'!$F$32,'參數'!E32&gt;'參數'!$G$32),1,0)+IF(OR('參數'!E33&lt;'參數'!$F$33,'參數'!E33&gt;'參數'!$G$33),1,0)+IF(OR('參數'!E34&lt;'參數'!$F$34,'參數'!E34&gt;'參數'!$G$34),1,0)+IF(OR('參數'!E35&lt;'參數'!$F$35,'參數'!E35&gt;'參數'!$G$35),1,0)+IF(OR('參數'!E36&lt;'參數'!$F$36,'參數'!E36&gt;'參數'!$G$36),1,0)+IF(OR('參數'!E37&lt;'參數'!$F$37,'參數'!E37&gt;'參數'!$G$37),1,0)+IF(OR('參數'!E38&lt;'參數'!$F$38,'參數'!E38&gt;'參數'!$G$38),1,0)</x:f>
        <x:v>0</x:v>
      </x:c>
      <x:c r="F78" s="2"/>
    </x:row>
    <x:row r="79" ht="24" customHeight="1">
      <x:c r="A79" s="2" t="str">
        <x:v>期初資金池不足額</x:v>
      </x:c>
      <x:c r="B79" s="2"/>
      <x:c r="C79" s="11" t="n">
        <x:f>MAX(0,-C35)</x:f>
        <x:v>0</x:v>
      </x:c>
      <x:c r="D79" s="11" t="n">
        <x:f>MAX(0,-D35)</x:f>
        <x:v>0</x:v>
      </x:c>
      <x:c r="E79" s="11" t="n">
        <x:f>MAX(0,-E35)</x:f>
        <x:v>0</x:v>
      </x:c>
      <x:c r="F79" s="2"/>
    </x:row>
    <x:row r="80" ht="24" customHeight="1">
      <x:c r="A80" s="2" t="str">
        <x:v>人數非整數數</x:v>
      </x:c>
      <x:c r="B80" s="2"/>
      <x:c r="C80" s="11" t="n">
        <x:f>IF(MOD('參數'!C29,1)=0,0,1)</x:f>
        <x:v>0</x:v>
      </x:c>
      <x:c r="D80" s="11" t="n">
        <x:f>IF(MOD('參數'!D29,1)=0,0,1)</x:f>
        <x:v>0</x:v>
      </x:c>
      <x:c r="E80" s="11" t="n">
        <x:f>IF(MOD('參數'!E29,1)=0,0,1)</x:f>
        <x:v>0</x:v>
      </x:c>
      <x:c r="F80" s="2"/>
    </x:row>
    <x:row r="81" ht="24" customHeight="1">
      <x:c r="A81" s="2" t="str">
        <x:v>期初存量空白數</x:v>
      </x:c>
      <x:c r="B81" s="2"/>
      <x:c r="C81" s="11" t="n">
        <x:f>COUNTBLANK('參數'!$C$43:$C$49)</x:f>
        <x:v>0</x:v>
      </x:c>
      <x:c r="D81" s="11" t="n">
        <x:f>COUNTBLANK('參數'!$C$43:$C$49)</x:f>
        <x:v>0</x:v>
      </x:c>
      <x:c r="E81" s="11" t="n">
        <x:f>COUNTBLANK('參數'!$C$43:$C$49)</x:f>
        <x:v>0</x:v>
      </x:c>
      <x:c r="F81" s="2"/>
    </x:row>
    <x:row r="82" ht="24" customHeight="1">
      <x:c r="A82" s="2"/>
      <x:c r="B82" s="2"/>
      <x:c r="C82" s="2"/>
      <x:c r="D82" s="2"/>
      <x:c r="E82" s="2"/>
      <x:c r="F82" s="2"/>
    </x:row>
    <x:row r="83" ht="24" customHeight="1">
      <x:c r="A83" s="2"/>
      <x:c r="B83" s="2"/>
      <x:c r="C83" s="2"/>
      <x:c r="D83" s="2"/>
      <x:c r="E83" s="2"/>
      <x:c r="F83" s="2"/>
    </x:row>
    <x:row r="84" ht="24" customHeight="1">
      <x:c r="A84" s="2"/>
      <x:c r="B84" s="2"/>
      <x:c r="C84" s="2"/>
      <x:c r="D84" s="2"/>
      <x:c r="E84" s="2"/>
      <x:c r="F84" s="2"/>
    </x:row>
    <x:row r="85" ht="24" customHeight="1">
      <x:c r="A85" s="2"/>
      <x:c r="B85" s="2"/>
      <x:c r="C85" s="2"/>
      <x:c r="D85" s="2"/>
      <x:c r="E85" s="2"/>
      <x:c r="F85" s="2"/>
    </x:row>
    <x:row r="86" ht="24" customHeight="1">
      <x:c r="A86" s="2"/>
      <x:c r="B86" s="2"/>
      <x:c r="C86" s="2"/>
      <x:c r="D86" s="2"/>
      <x:c r="E86" s="2"/>
      <x:c r="F86" s="2"/>
    </x:row>
  </x:sheetData>
  <x:conditionalFormatting sqref="C72:E81">
    <x:cfRule type="cellIs" dxfId="0" priority="1" operator="greaterThan">
      <x:formula>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97DA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</x:cols>
  <x:sheetData>
    <x:row r="1" ht="32" customHeight="1">
      <x:c r="A1" s="3" t="str">
        <x:v>FY2027 單因子敏感性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一次只改一個參數，其他使用目前FY2027值；端點為管理情境，非機率區間。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4" customHeight="1">
      <x:c r="A4" s="7" t="str">
        <x:v>參數</x:v>
      </x:c>
      <x:c r="B4" s="7" t="str">
        <x:v>目前值</x:v>
      </x:c>
      <x:c r="C4" s="7" t="str">
        <x:v>低端測試值</x:v>
      </x:c>
      <x:c r="D4" s="7" t="str">
        <x:v>高端測試值</x:v>
      </x:c>
      <x:c r="E4" s="7" t="str">
        <x:v>低端淨利</x:v>
      </x:c>
      <x:c r="F4" s="7" t="str">
        <x:v>高端淨利</x:v>
      </x:c>
      <x:c r="G4" s="7" t="str">
        <x:v>低端淨利差</x:v>
      </x:c>
      <x:c r="H4" s="7" t="str">
        <x:v>高端淨利差</x:v>
      </x:c>
      <x:c r="I4" s="7" t="str">
        <x:v>最大絕對差</x:v>
      </x:c>
      <x:c r="J4" s="7" t="str">
        <x:v>低端簽約</x:v>
      </x:c>
      <x:c r="K4" s="7" t="str">
        <x:v>高端簽約</x:v>
      </x:c>
      <x:c r="L4" s="7" t="str">
        <x:v>單位</x:v>
      </x:c>
      <x:c r="M4" s="27" t="str">
        <x:v>敏感程度排序</x:v>
      </x:c>
    </x:row>
    <x:row r="5" ht="24" customHeight="1">
      <x:c r="A5" s="2" t="str">
        <x:v>新增案源規模倍率</x:v>
      </x:c>
      <x:c r="B5" s="11" t="n">
        <x:f>'參數'!C8</x:f>
        <x:v>1</x:v>
      </x:c>
      <x:c r="C5" s="10" t="n">
        <x:f>MAX(0,MIN(10,B5*0.8))</x:f>
        <x:v>0.8</x:v>
      </x:c>
      <x:c r="D5" s="10" t="n">
        <x:f>MAX(0,MIN(10,B5*1.2))</x:f>
        <x:v>1.2</x:v>
      </x:c>
      <x:c r="E5" s="11" t="n">
        <x:f>BJ59</x:f>
        <x:v>0.6543999999999995</x:v>
      </x:c>
      <x:c r="F5" s="11" t="n">
        <x:f>BJ60</x:f>
        <x:v>0.8867989041095884</x:v>
      </x:c>
      <x:c r="G5" s="11" t="n">
        <x:f>E5-$BJ$58</x:f>
        <x:v>-0.2483463013698639</x:v>
      </x:c>
      <x:c r="H5" s="11" t="n">
        <x:f>F5-$BJ$58</x:f>
        <x:v>-0.015947397260275054</x:v>
      </x:c>
      <x:c r="I5" s="11" t="n">
        <x:f>MAX(ABS(G5),ABS(H5))</x:f>
        <x:v>0.2483463013698639</x:v>
      </x:c>
      <x:c r="J5" s="11" t="n">
        <x:f>O59</x:f>
        <x:v>18</x:v>
      </x:c>
      <x:c r="K5" s="11" t="n">
        <x:f>O60</x:f>
        <x:v>22</x:v>
      </x:c>
      <x:c r="L5" s="2" t="str">
        <x:v>倍</x:v>
      </x:c>
      <x:c r="M5" t="n">
        <x:f>COUNTIF($I$5:$I$23,"&gt;"&amp;I5)+COUNTIF($I$5:I5,I5)</x:f>
        <x:v>3</x:v>
      </x:c>
    </x:row>
    <x:row r="6" ht="24" customHeight="1">
      <x:c r="A6" s="2" t="str">
        <x:v>統包年度簽約轉化率</x:v>
      </x:c>
      <x:c r="B6" s="14" t="n">
        <x:f>'參數'!C9</x:f>
        <x:v>0.4</x:v>
      </x:c>
      <x:c r="C6" s="13" t="n">
        <x:f>MAX(0,MIN(1,B6+(-0.1)))</x:f>
        <x:v>0.30000000000000004</x:v>
      </x:c>
      <x:c r="D6" s="13" t="n">
        <x:f>MAX(0,MIN(1,B6+(0.1)))</x:f>
        <x:v>0.5</x:v>
      </x:c>
      <x:c r="E6" s="11" t="n">
        <x:f>BJ61</x:f>
        <x:v>0.8079999999999996</x:v>
      </x:c>
      <x:c r="F6" s="11" t="n">
        <x:f>BJ62</x:f>
        <x:v>0.8686768617683676</x:v>
      </x:c>
      <x:c r="G6" s="11" t="n">
        <x:f>E6-$BJ$58</x:f>
        <x:v>-0.09474630136986384</x:v>
      </x:c>
      <x:c r="H6" s="11" t="n">
        <x:f>F6-$BJ$58</x:f>
        <x:v>-0.03406943960149589</x:v>
      </x:c>
      <x:c r="I6" s="11" t="n">
        <x:f>MAX(ABS(G6),ABS(H6))</x:f>
        <x:v>0.09474630136986384</x:v>
      </x:c>
      <x:c r="J6" s="11" t="n">
        <x:f>O61</x:f>
        <x:v>19</x:v>
      </x:c>
      <x:c r="K6" s="11" t="n">
        <x:f>O62</x:f>
        <x:v>21</x:v>
      </x:c>
      <x:c r="L6" s="2" t="str">
        <x:v>%</x:v>
      </x:c>
      <x:c r="M6" t="n">
        <x:f>COUNTIF($I$5:$I$23,"&gt;"&amp;I6)+COUNTIF($I$5:I6,I6)</x:f>
        <x:v>8</x:v>
      </x:c>
    </x:row>
    <x:row r="7" ht="24" customHeight="1">
      <x:c r="A7" s="2" t="str">
        <x:v>資管年度立案轉化率</x:v>
      </x:c>
      <x:c r="B7" s="14" t="n">
        <x:f>'參數'!C10</x:f>
        <x:v>0.4</x:v>
      </x:c>
      <x:c r="C7" s="13" t="n">
        <x:f>MAX(0,MIN(1,B7+(-0.1)))</x:f>
        <x:v>0.30000000000000004</x:v>
      </x:c>
      <x:c r="D7" s="13" t="n">
        <x:f>MAX(0,MIN(1,B7+(0.1)))</x:f>
        <x:v>0.5</x:v>
      </x:c>
      <x:c r="E7" s="11" t="n">
        <x:f>BJ63</x:f>
        <x:v>0.6879999999999994</x:v>
      </x:c>
      <x:c r="F7" s="11" t="n">
        <x:f>BJ64</x:f>
        <x:v>0.9157468969624774</x:v>
      </x:c>
      <x:c r="G7" s="11" t="n">
        <x:f>E7-$BJ$58</x:f>
        <x:v>-0.21474630136986406</x:v>
      </x:c>
      <x:c r="H7" s="11" t="n">
        <x:f>F7-$BJ$58</x:f>
        <x:v>0.013000595592613906</x:v>
      </x:c>
      <x:c r="I7" s="11" t="n">
        <x:f>MAX(ABS(G7),ABS(H7))</x:f>
        <x:v>0.21474630136986406</x:v>
      </x:c>
      <x:c r="J7" s="11" t="n">
        <x:f>O63</x:f>
        <x:v>18.5</x:v>
      </x:c>
      <x:c r="K7" s="11" t="n">
        <x:f>O64</x:f>
        <x:v>21.5</x:v>
      </x:c>
      <x:c r="L7" s="2" t="str">
        <x:v>%</x:v>
      </x:c>
      <x:c r="M7" t="n">
        <x:f>COUNTIF($I$5:$I$23,"&gt;"&amp;I7)+COUNTIF($I$5:I7,I7)</x:f>
        <x:v>5</x:v>
      </x:c>
    </x:row>
    <x:row r="8" ht="24" customHeight="1">
      <x:c r="A8" s="2" t="str">
        <x:v>AIDC可簽約金額保留率</x:v>
      </x:c>
      <x:c r="B8" s="14" t="n">
        <x:f>'參數'!C12</x:f>
        <x:v>1</x:v>
      </x:c>
      <x:c r="C8" s="13" t="n">
        <x:f>MAX(0,MIN(1,0))</x:f>
        <x:v>0</x:v>
      </x:c>
      <x:c r="D8" s="13" t="n">
        <x:f>MAX(0,MIN(1,1))</x:f>
        <x:v>1</x:v>
      </x:c>
      <x:c r="E8" s="11" t="n">
        <x:f>BJ65</x:f>
        <x:v>0.9027463013698634</x:v>
      </x:c>
      <x:c r="F8" s="11" t="n">
        <x:f>BJ66</x:f>
        <x:v>0.9027463013698634</x:v>
      </x:c>
      <x:c r="G8" s="11" t="n">
        <x:f>E8-$BJ$58</x:f>
        <x:v>0</x:v>
      </x:c>
      <x:c r="H8" s="11" t="n">
        <x:f>F8-$BJ$58</x:f>
        <x:v>0</x:v>
      </x:c>
      <x:c r="I8" s="11" t="n">
        <x:f>MAX(ABS(G8),ABS(H8))</x:f>
        <x:v>0</x:v>
      </x:c>
      <x:c r="J8" s="11" t="n">
        <x:f>O65</x:f>
        <x:v>10</x:v>
      </x:c>
      <x:c r="K8" s="11" t="n">
        <x:f>O66</x:f>
        <x:v>20</x:v>
      </x:c>
      <x:c r="L8" s="2" t="str">
        <x:v>%</x:v>
      </x:c>
      <x:c r="M8" t="n">
        <x:f>COUNTIF($I$5:$I$23,"&gt;"&amp;I8)+COUNTIF($I$5:I8,I8)</x:f>
        <x:v>17</x:v>
      </x:c>
    </x:row>
    <x:row r="9" ht="24" customHeight="1">
      <x:c r="A9" s="2" t="str">
        <x:v>統包當年新約可交付率</x:v>
      </x:c>
      <x:c r="B9" s="14" t="n">
        <x:f>'參數'!C14</x:f>
        <x:v>1</x:v>
      </x:c>
      <x:c r="C9" s="13" t="n">
        <x:f>MAX(0,MIN(1,B9+(-0.2)))</x:f>
        <x:v>0.8</x:v>
      </x:c>
      <x:c r="D9" s="13" t="n">
        <x:f>MAX(0,MIN(1,B9+(0)))</x:f>
        <x:v>1</x:v>
      </x:c>
      <x:c r="E9" s="11" t="n">
        <x:f>BJ67</x:f>
        <x:v>0.8271999999999989</x:v>
      </x:c>
      <x:c r="F9" s="11" t="n">
        <x:f>BJ68</x:f>
        <x:v>0.9027463013698634</x:v>
      </x:c>
      <x:c r="G9" s="11" t="n">
        <x:f>E9-$BJ$58</x:f>
        <x:v>-0.07554630136986451</x:v>
      </x:c>
      <x:c r="H9" s="11" t="n">
        <x:f>F9-$BJ$58</x:f>
        <x:v>0</x:v>
      </x:c>
      <x:c r="I9" s="11" t="n">
        <x:f>MAX(ABS(G9),ABS(H9))</x:f>
        <x:v>0.07554630136986451</x:v>
      </x:c>
      <x:c r="J9" s="11" t="n">
        <x:f>O67</x:f>
        <x:v>20</x:v>
      </x:c>
      <x:c r="K9" s="11" t="n">
        <x:f>O68</x:f>
        <x:v>20</x:v>
      </x:c>
      <x:c r="L9" s="2" t="str">
        <x:v>%</x:v>
      </x:c>
      <x:c r="M9" t="n">
        <x:f>COUNTIF($I$5:$I$23,"&gt;"&amp;I9)+COUNTIF($I$5:I9,I9)</x:f>
        <x:v>10</x:v>
      </x:c>
    </x:row>
    <x:row r="10" ht="24" customHeight="1">
      <x:c r="A10" s="2" t="str">
        <x:v>資管當年新約可交付率</x:v>
      </x:c>
      <x:c r="B10" s="14" t="n">
        <x:f>'參數'!C15</x:f>
        <x:v>1</x:v>
      </x:c>
      <x:c r="C10" s="13" t="n">
        <x:f>MAX(0,MIN(1,B10+(-0.2)))</x:f>
        <x:v>0.8</x:v>
      </x:c>
      <x:c r="D10" s="13" t="n">
        <x:f>MAX(0,MIN(1,B10+(0)))</x:f>
        <x:v>1</x:v>
      </x:c>
      <x:c r="E10" s="11" t="n">
        <x:f>BJ69</x:f>
        <x:v>0.7311999999999996</x:v>
      </x:c>
      <x:c r="F10" s="11" t="n">
        <x:f>BJ70</x:f>
        <x:v>0.9027463013698634</x:v>
      </x:c>
      <x:c r="G10" s="11" t="n">
        <x:f>E10-$BJ$58</x:f>
        <x:v>-0.17154630136986382</x:v>
      </x:c>
      <x:c r="H10" s="11" t="n">
        <x:f>F10-$BJ$58</x:f>
        <x:v>0</x:v>
      </x:c>
      <x:c r="I10" s="11" t="n">
        <x:f>MAX(ABS(G10),ABS(H10))</x:f>
        <x:v>0.17154630136986382</x:v>
      </x:c>
      <x:c r="J10" s="11" t="n">
        <x:f>O69</x:f>
        <x:v>20</x:v>
      </x:c>
      <x:c r="K10" s="11" t="n">
        <x:f>O70</x:f>
        <x:v>20</x:v>
      </x:c>
      <x:c r="L10" s="2" t="str">
        <x:v>%</x:v>
      </x:c>
      <x:c r="M10" t="n">
        <x:f>COUNTIF($I$5:$I$23,"&gt;"&amp;I10)+COUNTIF($I$5:I10,I10)</x:f>
        <x:v>6</x:v>
      </x:c>
    </x:row>
    <x:row r="11" ht="24" customHeight="1">
      <x:c r="A11" s="2" t="str">
        <x:v>AIDC期初訂單釋放率</x:v>
      </x:c>
      <x:c r="B11" s="14" t="n">
        <x:f>'參數'!C19</x:f>
        <x:v>0.5</x:v>
      </x:c>
      <x:c r="C11" s="13" t="n">
        <x:f>MAX(0,MIN(1,B11+(-0.25)))</x:f>
        <x:v>0.25</x:v>
      </x:c>
      <x:c r="D11" s="13" t="n">
        <x:f>MAX(0,MIN(1,B11+(0.25)))</x:f>
        <x:v>0.75</x:v>
      </x:c>
      <x:c r="E11" s="11" t="n">
        <x:f>BJ71</x:f>
        <x:v>0.9027463013698634</x:v>
      </x:c>
      <x:c r="F11" s="11" t="n">
        <x:f>BJ72</x:f>
        <x:v>0.9027463013698634</x:v>
      </x:c>
      <x:c r="G11" s="11" t="n">
        <x:f>E11-$BJ$58</x:f>
        <x:v>0</x:v>
      </x:c>
      <x:c r="H11" s="11" t="n">
        <x:f>F11-$BJ$58</x:f>
        <x:v>0</x:v>
      </x:c>
      <x:c r="I11" s="11" t="n">
        <x:f>MAX(ABS(G11),ABS(H11))</x:f>
        <x:v>0</x:v>
      </x:c>
      <x:c r="J11" s="11" t="n">
        <x:f>O71</x:f>
        <x:v>20</x:v>
      </x:c>
      <x:c r="K11" s="11" t="n">
        <x:f>O72</x:f>
        <x:v>20</x:v>
      </x:c>
      <x:c r="L11" s="2" t="str">
        <x:v>%</x:v>
      </x:c>
      <x:c r="M11" t="n">
        <x:f>COUNTIF($I$5:$I$23,"&gt;"&amp;I11)+COUNTIF($I$5:I11,I11)</x:f>
        <x:v>18</x:v>
      </x:c>
    </x:row>
    <x:row r="12" ht="24" customHeight="1">
      <x:c r="A12" s="2" t="str">
        <x:v>OU年度交付容量</x:v>
      </x:c>
      <x:c r="B12" s="11" t="n">
        <x:f>'參數'!C20</x:f>
        <x:v>10</x:v>
      </x:c>
      <x:c r="C12" s="10" t="n">
        <x:f>MAX(0,MIN(10000,B12*0.8))</x:f>
        <x:v>8</x:v>
      </x:c>
      <x:c r="D12" s="10" t="n">
        <x:f>MAX(0,MIN(10000,B12*1.2))</x:f>
        <x:v>12</x:v>
      </x:c>
      <x:c r="E12" s="11" t="n">
        <x:f>BJ73</x:f>
        <x:v>0.6383999999999999</x:v>
      </x:c>
      <x:c r="F12" s="11" t="n">
        <x:f>BJ74</x:f>
        <x:v>0.9027463013698634</x:v>
      </x:c>
      <x:c r="G12" s="11" t="n">
        <x:f>E12-$BJ$58</x:f>
        <x:v>-0.2643463013698636</x:v>
      </x:c>
      <x:c r="H12" s="11" t="n">
        <x:f>F12-$BJ$58</x:f>
        <x:v>0</x:v>
      </x:c>
      <x:c r="I12" s="11" t="n">
        <x:f>MAX(ABS(G12),ABS(H12))</x:f>
        <x:v>0.2643463013698636</x:v>
      </x:c>
      <x:c r="J12" s="11" t="n">
        <x:f>O73</x:f>
        <x:v>20</x:v>
      </x:c>
      <x:c r="K12" s="11" t="n">
        <x:f>O74</x:f>
        <x:v>20</x:v>
      </x:c>
      <x:c r="L12" s="2" t="str">
        <x:v>億元/年</x:v>
      </x:c>
      <x:c r="M12" t="n">
        <x:f>COUNTIF($I$5:$I$23,"&gt;"&amp;I12)+COUNTIF($I$5:I12,I12)</x:f>
        <x:v>2</x:v>
      </x:c>
    </x:row>
    <x:row r="13" ht="24" customHeight="1">
      <x:c r="A13" s="2" t="str">
        <x:v>三軌共同毛利率變動</x:v>
      </x:c>
      <x:c r="B13" s="14" t="n">
        <x:f>'參數'!C26</x:f>
        <x:v>0</x:v>
      </x:c>
      <x:c r="C13" s="13" t="n">
        <x:f>MAX(-0.5,MIN(0.5,B13+(-0.03)))</x:f>
        <x:v>-0.03</x:v>
      </x:c>
      <x:c r="D13" s="13" t="n">
        <x:f>MAX(-0.5,MIN(0.5,B13+(0.03)))</x:f>
        <x:v>0.03</x:v>
      </x:c>
      <x:c r="E13" s="11" t="n">
        <x:f>BJ75</x:f>
        <x:v>0.6635353424657533</x:v>
      </x:c>
      <x:c r="F13" s="11" t="n">
        <x:f>BJ76</x:f>
        <x:v>1.1419572602739723</x:v>
      </x:c>
      <x:c r="G13" s="11" t="n">
        <x:f>E13-$BJ$58</x:f>
        <x:v>-0.23921095890411015</x:v>
      </x:c>
      <x:c r="H13" s="11" t="n">
        <x:f>F13-$BJ$58</x:f>
        <x:v>0.23921095890410882</x:v>
      </x:c>
      <x:c r="I13" s="11" t="n">
        <x:f>MAX(ABS(G13),ABS(H13))</x:f>
        <x:v>0.23921095890411015</x:v>
      </x:c>
      <x:c r="J13" s="11" t="n">
        <x:f>O75</x:f>
        <x:v>20</x:v>
      </x:c>
      <x:c r="K13" s="11" t="n">
        <x:f>O76</x:f>
        <x:v>20</x:v>
      </x:c>
      <x:c r="L13" s="2" t="str">
        <x:v>百分點</x:v>
      </x:c>
      <x:c r="M13" t="n">
        <x:f>COUNTIF($I$5:$I$23,"&gt;"&amp;I13)+COUNTIF($I$5:I13,I13)</x:f>
        <x:v>4</x:v>
      </x:c>
    </x:row>
    <x:row r="14" ht="24" customHeight="1">
      <x:c r="A14" s="2" t="str">
        <x:v>開發毛利加成實現率</x:v>
      </x:c>
      <x:c r="B14" s="14" t="n">
        <x:f>'參數'!C24</x:f>
        <x:v>1</x:v>
      </x:c>
      <x:c r="C14" s="13" t="n">
        <x:f>MAX(0,MIN(1,B14+(-0.5)))</x:f>
        <x:v>0.5</x:v>
      </x:c>
      <x:c r="D14" s="13" t="n">
        <x:f>MAX(0,MIN(1,B14+(0)))</x:f>
        <x:v>1</x:v>
      </x:c>
      <x:c r="E14" s="11" t="n">
        <x:f>BJ77</x:f>
        <x:v>0.759219726027398</x:v>
      </x:c>
      <x:c r="F14" s="11" t="n">
        <x:f>BJ78</x:f>
        <x:v>0.9027463013698634</x:v>
      </x:c>
      <x:c r="G14" s="11" t="n">
        <x:f>E14-$BJ$58</x:f>
        <x:v>-0.1435265753424655</x:v>
      </x:c>
      <x:c r="H14" s="11" t="n">
        <x:f>F14-$BJ$58</x:f>
        <x:v>0</x:v>
      </x:c>
      <x:c r="I14" s="11" t="n">
        <x:f>MAX(ABS(G14),ABS(H14))</x:f>
        <x:v>0.1435265753424655</x:v>
      </x:c>
      <x:c r="J14" s="11" t="n">
        <x:f>O77</x:f>
        <x:v>20</x:v>
      </x:c>
      <x:c r="K14" s="11" t="n">
        <x:f>O78</x:f>
        <x:v>20</x:v>
      </x:c>
      <x:c r="L14" s="2" t="str">
        <x:v>%</x:v>
      </x:c>
      <x:c r="M14" t="n">
        <x:f>COUNTIF($I$5:$I$23,"&gt;"&amp;I14)+COUNTIF($I$5:I14,I14)</x:f>
        <x:v>7</x:v>
      </x:c>
    </x:row>
    <x:row r="15" ht="24" customHeight="1">
      <x:c r="A15" s="2" t="str">
        <x:v>直接成本漲價率</x:v>
      </x:c>
      <x:c r="B15" s="14" t="n">
        <x:f>'參數'!C27</x:f>
        <x:v>0</x:v>
      </x:c>
      <x:c r="C15" s="13" t="n">
        <x:f>MAX(0,MIN(2,B15+(0)))</x:f>
        <x:v>0</x:v>
      </x:c>
      <x:c r="D15" s="13" t="n">
        <x:f>MAX(0,MIN(2,B15+(0.05)))</x:f>
        <x:v>0.05</x:v>
      </x:c>
      <x:c r="E15" s="11" t="n">
        <x:f>BJ79</x:f>
        <x:v>0.9027463013698634</x:v>
      </x:c>
      <x:c r="F15" s="11" t="n">
        <x:f>BJ80</x:f>
        <x:v>0.5662562191780822</x:v>
      </x:c>
      <x:c r="G15" s="11" t="n">
        <x:f>E15-$BJ$58</x:f>
        <x:v>0</x:v>
      </x:c>
      <x:c r="H15" s="11" t="n">
        <x:f>F15-$BJ$58</x:f>
        <x:v>-0.3364900821917812</x:v>
      </x:c>
      <x:c r="I15" s="11" t="n">
        <x:f>MAX(ABS(G15),ABS(H15))</x:f>
        <x:v>0.3364900821917812</x:v>
      </x:c>
      <x:c r="J15" s="11" t="n">
        <x:f>O79</x:f>
        <x:v>20</x:v>
      </x:c>
      <x:c r="K15" s="11" t="n">
        <x:f>O80</x:f>
        <x:v>20</x:v>
      </x:c>
      <x:c r="L15" s="2" t="str">
        <x:v>%</x:v>
      </x:c>
      <x:c r="M15" t="n">
        <x:f>COUNTIF($I$5:$I$23,"&gt;"&amp;I15)+COUNTIF($I$5:I15,I15)</x:f>
        <x:v>1</x:v>
      </x:c>
    </x:row>
    <x:row r="16" ht="24" customHeight="1">
      <x:c r="A16" s="2" t="str">
        <x:v>人力編制</x:v>
      </x:c>
      <x:c r="B16" s="31" t="n">
        <x:f>'參數'!C29</x:f>
        <x:v>11</x:v>
      </x:c>
      <x:c r="C16" s="30" t="n">
        <x:f>MAX(0,MIN(10000,B16+(-2)))</x:f>
        <x:v>9</x:v>
      </x:c>
      <x:c r="D16" s="30" t="n">
        <x:f>MAX(0,MIN(10000,B16+(2)))</x:f>
        <x:v>13</x:v>
      </x:c>
      <x:c r="E16" s="11" t="n">
        <x:f>BJ81</x:f>
        <x:v>0.9347463013698633</x:v>
      </x:c>
      <x:c r="F16" s="11" t="n">
        <x:f>BJ82</x:f>
        <x:v>0.8707463013698634</x:v>
      </x:c>
      <x:c r="G16" s="11" t="n">
        <x:f>E16-$BJ$58</x:f>
        <x:v>0.031999999999999806</x:v>
      </x:c>
      <x:c r="H16" s="11" t="n">
        <x:f>F16-$BJ$58</x:f>
        <x:v>-0.03200000000000003</x:v>
      </x:c>
      <x:c r="I16" s="11" t="n">
        <x:f>MAX(ABS(G16),ABS(H16))</x:f>
        <x:v>0.03200000000000003</x:v>
      </x:c>
      <x:c r="J16" s="11" t="n">
        <x:f>O81</x:f>
        <x:v>20</x:v>
      </x:c>
      <x:c r="K16" s="11" t="n">
        <x:f>O82</x:f>
        <x:v>20</x:v>
      </x:c>
      <x:c r="L16" s="2" t="str">
        <x:v>人</x:v>
      </x:c>
      <x:c r="M16" t="n">
        <x:f>COUNTIF($I$5:$I$23,"&gt;"&amp;I16)+COUNTIF($I$5:I16,I16)</x:f>
        <x:v>12</x:v>
      </x:c>
    </x:row>
    <x:row r="17" ht="24" customHeight="1">
      <x:c r="A17" s="2" t="str">
        <x:v>人均年度完整費用</x:v>
      </x:c>
      <x:c r="B17" s="11" t="n">
        <x:f>'參數'!C30</x:f>
        <x:v>0.02</x:v>
      </x:c>
      <x:c r="C17" s="10" t="n">
        <x:f>MAX(0,MIN(100,B17*0.9))</x:f>
        <x:v>0.018000000000000002</x:v>
      </x:c>
      <x:c r="D17" s="10" t="n">
        <x:f>MAX(0,MIN(100,B17*1.1))</x:f>
        <x:v>0.022000000000000002</x:v>
      </x:c>
      <x:c r="E17" s="11" t="n">
        <x:f>BJ83</x:f>
        <x:v>0.9203463013698634</x:v>
      </x:c>
      <x:c r="F17" s="11" t="n">
        <x:f>BJ84</x:f>
        <x:v>0.8851463013698634</x:v>
      </x:c>
      <x:c r="G17" s="11" t="n">
        <x:f>E17-$BJ$58</x:f>
        <x:v>0.01759999999999995</x:v>
      </x:c>
      <x:c r="H17" s="11" t="n">
        <x:f>F17-$BJ$58</x:f>
        <x:v>-0.01760000000000006</x:v>
      </x:c>
      <x:c r="I17" s="11" t="n">
        <x:f>MAX(ABS(G17),ABS(H17))</x:f>
        <x:v>0.01760000000000006</x:v>
      </x:c>
      <x:c r="J17" s="11" t="n">
        <x:f>O83</x:f>
        <x:v>20</x:v>
      </x:c>
      <x:c r="K17" s="11" t="n">
        <x:f>O84</x:f>
        <x:v>20</x:v>
      </x:c>
      <x:c r="L17" s="2" t="str">
        <x:v>億元/人</x:v>
      </x:c>
      <x:c r="M17" t="n">
        <x:f>COUNTIF($I$5:$I$23,"&gt;"&amp;I17)+COUNTIF($I$5:I17,I17)</x:f>
        <x:v>13</x:v>
      </x:c>
    </x:row>
    <x:row r="18" ht="24" customHeight="1">
      <x:c r="A18" s="2" t="str">
        <x:v>其他年度營業費用</x:v>
      </x:c>
      <x:c r="B18" s="11" t="n">
        <x:f>'參數'!C31</x:f>
        <x:v>0.23</x:v>
      </x:c>
      <x:c r="C18" s="10" t="n">
        <x:f>MAX(0,MIN(10000,B18*0.8))</x:f>
        <x:v>0.18400000000000002</x:v>
      </x:c>
      <x:c r="D18" s="10" t="n">
        <x:f>MAX(0,MIN(10000,B18*1.2))</x:f>
        <x:v>0.276</x:v>
      </x:c>
      <x:c r="E18" s="11" t="n">
        <x:f>BJ85</x:f>
        <x:v>0.9395463013698635</x:v>
      </x:c>
      <x:c r="F18" s="11" t="n">
        <x:f>BJ86</x:f>
        <x:v>0.8659463013698634</x:v>
      </x:c>
      <x:c r="G18" s="11" t="n">
        <x:f>E18-$BJ$58</x:f>
        <x:v>0.036800000000000055</x:v>
      </x:c>
      <x:c r="H18" s="11" t="n">
        <x:f>F18-$BJ$58</x:f>
        <x:v>-0.036800000000000055</x:v>
      </x:c>
      <x:c r="I18" s="11" t="n">
        <x:f>MAX(ABS(G18),ABS(H18))</x:f>
        <x:v>0.036800000000000055</x:v>
      </x:c>
      <x:c r="J18" s="11" t="n">
        <x:f>O85</x:f>
        <x:v>20</x:v>
      </x:c>
      <x:c r="K18" s="11" t="n">
        <x:f>O86</x:f>
        <x:v>20</x:v>
      </x:c>
      <x:c r="L18" s="2" t="str">
        <x:v>億元</x:v>
      </x:c>
      <x:c r="M18" t="n">
        <x:f>COUNTIF($I$5:$I$23,"&gt;"&amp;I18)+COUNTIF($I$5:I18,I18)</x:f>
        <x:v>11</x:v>
      </x:c>
    </x:row>
    <x:row r="19" ht="24" customHeight="1">
      <x:c r="A19" s="2" t="str">
        <x:v>應收帳款天數</x:v>
      </x:c>
      <x:c r="B19" s="31" t="n">
        <x:f>'參數'!C32</x:f>
        <x:v>90</x:v>
      </x:c>
      <x:c r="C19" s="30" t="n">
        <x:f>MAX(0,MIN(365,B19+(-30)))</x:f>
        <x:v>60</x:v>
      </x:c>
      <x:c r="D19" s="30" t="n">
        <x:f>MAX(0,MIN(365,B19+(30)))</x:f>
        <x:v>120</x:v>
      </x:c>
      <x:c r="E19" s="11" t="n">
        <x:f>BJ87</x:f>
        <x:v>0.9040000000000005</x:v>
      </x:c>
      <x:c r="F19" s="11" t="n">
        <x:f>BJ88</x:f>
        <x:v>0.8895956164383566</x:v>
      </x:c>
      <x:c r="G19" s="11" t="n">
        <x:f>E19-$BJ$58</x:f>
        <x:v>0.0012536986301370234</x:v>
      </x:c>
      <x:c r="H19" s="11" t="n">
        <x:f>F19-$BJ$58</x:f>
        <x:v>-0.01315068493150684</x:v>
      </x:c>
      <x:c r="I19" s="11" t="n">
        <x:f>MAX(ABS(G19),ABS(H19))</x:f>
        <x:v>0.01315068493150684</x:v>
      </x:c>
      <x:c r="J19" s="11" t="n">
        <x:f>O87</x:f>
        <x:v>20</x:v>
      </x:c>
      <x:c r="K19" s="11" t="n">
        <x:f>O88</x:f>
        <x:v>20</x:v>
      </x:c>
      <x:c r="L19" s="2" t="str">
        <x:v>天</x:v>
      </x:c>
      <x:c r="M19" t="n">
        <x:f>COUNTIF($I$5:$I$23,"&gt;"&amp;I19)+COUNTIF($I$5:I19,I19)</x:f>
        <x:v>14</x:v>
      </x:c>
    </x:row>
    <x:row r="20" ht="24" customHeight="1">
      <x:c r="A20" s="2" t="str">
        <x:v>應付帳款天數</x:v>
      </x:c>
      <x:c r="B20" s="31" t="n">
        <x:f>'參數'!C33</x:f>
        <x:v>60</x:v>
      </x:c>
      <x:c r="C20" s="30" t="n">
        <x:f>MAX(0,MIN(365,B20+(-30)))</x:f>
        <x:v>30</x:v>
      </x:c>
      <x:c r="D20" s="30" t="n">
        <x:f>MAX(0,MIN(365,B20+(30)))</x:f>
        <x:v>90</x:v>
      </x:c>
      <x:c r="E20" s="11" t="n">
        <x:f>BJ89</x:f>
        <x:v>0.8916471232876717</x:v>
      </x:c>
      <x:c r="F20" s="11" t="n">
        <x:f>BJ90</x:f>
        <x:v>0.9040000000000005</x:v>
      </x:c>
      <x:c r="G20" s="11" t="n">
        <x:f>E20-$BJ$58</x:f>
        <x:v>-0.01109917808219174</x:v>
      </x:c>
      <x:c r="H20" s="11" t="n">
        <x:f>F20-$BJ$58</x:f>
        <x:v>0.0012536986301370234</x:v>
      </x:c>
      <x:c r="I20" s="11" t="n">
        <x:f>MAX(ABS(G20),ABS(H20))</x:f>
        <x:v>0.01109917808219174</x:v>
      </x:c>
      <x:c r="J20" s="11" t="n">
        <x:f>O89</x:f>
        <x:v>20</x:v>
      </x:c>
      <x:c r="K20" s="11" t="n">
        <x:f>O90</x:f>
        <x:v>20</x:v>
      </x:c>
      <x:c r="L20" s="2" t="str">
        <x:v>天</x:v>
      </x:c>
      <x:c r="M20" t="n">
        <x:f>COUNTIF($I$5:$I$23,"&gt;"&amp;I20)+COUNTIF($I$5:I20,I20)</x:f>
        <x:v>15</x:v>
      </x:c>
    </x:row>
    <x:row r="21" ht="24" customHeight="1">
      <x:c r="A21" s="2" t="str">
        <x:v>借款年利率</x:v>
      </x:c>
      <x:c r="B21" s="14" t="n">
        <x:f>'參數'!C34</x:f>
        <x:v>0.04</x:v>
      </x:c>
      <x:c r="C21" s="13" t="n">
        <x:f>MAX(0,MIN(1,B21+(-0.02)))</x:f>
        <x:v>0.02</x:v>
      </x:c>
      <x:c r="D21" s="13" t="n">
        <x:f>MAX(0,MIN(1,B21+(0.02)))</x:f>
        <x:v>0.06</x:v>
      </x:c>
      <x:c r="E21" s="11" t="n">
        <x:f>BJ91</x:f>
        <x:v>0.903373150684932</x:v>
      </x:c>
      <x:c r="F21" s="11" t="n">
        <x:f>BJ92</x:f>
        <x:v>0.9021194520547949</x:v>
      </x:c>
      <x:c r="G21" s="11" t="n">
        <x:f>E21-$BJ$58</x:f>
        <x:v>0.0006268493150685117</x:v>
      </x:c>
      <x:c r="H21" s="11" t="n">
        <x:f>F21-$BJ$58</x:f>
        <x:v>-0.0006268493150685117</x:v>
      </x:c>
      <x:c r="I21" s="11" t="n">
        <x:f>MAX(ABS(G21),ABS(H21))</x:f>
        <x:v>0.0006268493150685117</x:v>
      </x:c>
      <x:c r="J21" s="11" t="n">
        <x:f>O91</x:f>
        <x:v>20</x:v>
      </x:c>
      <x:c r="K21" s="11" t="n">
        <x:f>O92</x:f>
        <x:v>20</x:v>
      </x:c>
      <x:c r="L21" s="2" t="str">
        <x:v>%</x:v>
      </x:c>
      <x:c r="M21" t="n">
        <x:f>COUNTIF($I$5:$I$23,"&gt;"&amp;I21)+COUNTIF($I$5:I21,I21)</x:f>
        <x:v>16</x:v>
      </x:c>
    </x:row>
    <x:row r="22" ht="24" customHeight="1">
      <x:c r="A22" s="2" t="str">
        <x:v>可用短期借款上限</x:v>
      </x:c>
      <x:c r="B22" s="11" t="n">
        <x:f>'參數'!C37</x:f>
        <x:v>3</x:v>
      </x:c>
      <x:c r="C22" s="10" t="n">
        <x:f>MAX(0,MIN(10000,0))</x:f>
        <x:v>0</x:v>
      </x:c>
      <x:c r="D22" s="10" t="n">
        <x:f>MAX(0,MIN(10000,5))</x:f>
        <x:v>5</x:v>
      </x:c>
      <x:c r="E22" s="11" t="n">
        <x:f>BJ93</x:f>
        <x:v>0.8133170731707315</x:v>
      </x:c>
      <x:c r="F22" s="11" t="n">
        <x:f>BJ94</x:f>
        <x:v>0.9027463013698634</x:v>
      </x:c>
      <x:c r="G22" s="11" t="n">
        <x:f>E22-$BJ$58</x:f>
        <x:v>-0.0894292281991319</x:v>
      </x:c>
      <x:c r="H22" s="11" t="n">
        <x:f>F22-$BJ$58</x:f>
        <x:v>0</x:v>
      </x:c>
      <x:c r="I22" s="11" t="n">
        <x:f>MAX(ABS(G22),ABS(H22))</x:f>
        <x:v>0.0894292281991319</x:v>
      </x:c>
      <x:c r="J22" s="11" t="n">
        <x:f>O93</x:f>
        <x:v>20</x:v>
      </x:c>
      <x:c r="K22" s="11" t="n">
        <x:f>O94</x:f>
        <x:v>20</x:v>
      </x:c>
      <x:c r="L22" s="2" t="str">
        <x:v>億元</x:v>
      </x:c>
      <x:c r="M22" t="n">
        <x:f>COUNTIF($I$5:$I$23,"&gt;"&amp;I22)+COUNTIF($I$5:I22,I22)</x:f>
        <x:v>9</x:v>
      </x:c>
    </x:row>
    <x:row r="23" ht="24" customHeight="1">
      <x:c r="A23" s="2" t="str">
        <x:v>正淨利轉入資金池比例</x:v>
      </x:c>
      <x:c r="B23" s="14" t="n">
        <x:f>'參數'!C38</x:f>
        <x:v>0.5</x:v>
      </x:c>
      <x:c r="C23" s="13" t="n">
        <x:f>MAX(0,MIN(1,0))</x:f>
        <x:v>0</x:v>
      </x:c>
      <x:c r="D23" s="13" t="n">
        <x:f>MAX(0,MIN(1,1))</x:f>
        <x:v>1</x:v>
      </x:c>
      <x:c r="E23" s="11" t="n">
        <x:f>BJ95</x:f>
        <x:v>0.9027463013698634</x:v>
      </x:c>
      <x:c r="F23" s="11" t="n">
        <x:f>BJ96</x:f>
        <x:v>0.9027463013698634</x:v>
      </x:c>
      <x:c r="G23" s="11" t="n">
        <x:f>E23-$BJ$58</x:f>
        <x:v>0</x:v>
      </x:c>
      <x:c r="H23" s="11" t="n">
        <x:f>F23-$BJ$58</x:f>
        <x:v>0</x:v>
      </x:c>
      <x:c r="I23" s="11" t="n">
        <x:f>MAX(ABS(G23),ABS(H23))</x:f>
        <x:v>0</x:v>
      </x:c>
      <x:c r="J23" s="11" t="n">
        <x:f>O95</x:f>
        <x:v>20</x:v>
      </x:c>
      <x:c r="K23" s="11" t="n">
        <x:f>O96</x:f>
        <x:v>20</x:v>
      </x:c>
      <x:c r="L23" s="2" t="str">
        <x:v>%</x:v>
      </x:c>
      <x:c r="M23" t="n">
        <x:f>COUNTIF($I$5:$I$23,"&gt;"&amp;I23)+COUNTIF($I$5:I23,I23)</x:f>
        <x:v>19</x:v>
      </x:c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32" customHeight="1">
      <x:c r="A26" s="15" t="str">
        <x:v>淨利與淨利差單位：億元。0.01億元＝100萬元。黃色端點可覆寫，原公式隨目前參數加減或乘倍率。</x:v>
      </x:c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 ht="34" customHeight="1">
      <x:c r="A27" s="15" t="str">
        <x:v>AIDC當年可交付率與期初訂單皆為0時，簽約保留率與釋放率對FY27淨利可為0；跨年影響看三年模型。</x:v>
      </x:c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 ht="34" customHeight="1">
      <x:c r="A28" s="15" t="str">
        <x:v>共同毛利與成本漲價代表不同衝擊，請避免重複計入同一事件。端點不可留白或超出參數範圍。</x:v>
      </x:c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 t="str">
        <x:v>FY2027共用計算明細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 t="str">
        <x:v>每列為一個測試，向右可查核中間公式；同時支援單因子及雙因子。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72" customHeight="1">
      <x:c r="A57" s="7" t="str">
        <x:v>測試情境</x:v>
      </x:c>
      <x:c r="B57" s="7" t="str">
        <x:v>替代參數1</x:v>
      </x:c>
      <x:c r="C57" s="7" t="str">
        <x:v>替代參數2</x:v>
      </x:c>
      <x:c r="D57" s="7" t="str">
        <x:v>測試值1</x:v>
      </x:c>
      <x:c r="E57" s="7" t="str">
        <x:v>測試值2</x:v>
      </x:c>
      <x:c r="F57" s="7" t="str">
        <x:v>統包期初案源</x:v>
      </x:c>
      <x:c r="G57" s="7" t="str">
        <x:v>資管期初案源</x:v>
      </x:c>
      <x:c r="H57" s="7" t="str">
        <x:v>AIDC期初案源</x:v>
      </x:c>
      <x:c r="I57" s="7" t="str">
        <x:v>統包可用案源</x:v>
      </x:c>
      <x:c r="J57" s="7" t="str">
        <x:v>資管可用案源</x:v>
      </x:c>
      <x:c r="K57" s="7" t="str">
        <x:v>AIDC可用案源</x:v>
      </x:c>
      <x:c r="L57" s="7" t="str">
        <x:v>統包新增簽約</x:v>
      </x:c>
      <x:c r="M57" s="27" t="str">
        <x:v>資管新增簽約</x:v>
      </x:c>
      <x:c r="N57" s="27" t="str">
        <x:v>AIDC新增簽約</x:v>
      </x:c>
      <x:c r="O57" s="27" t="str">
        <x:v>簽約總額</x:v>
      </x:c>
      <x:c r="P57" s="27" t="str">
        <x:v>統包淘汰案源</x:v>
      </x:c>
      <x:c r="Q57" s="27" t="str">
        <x:v>資管淘汰案源</x:v>
      </x:c>
      <x:c r="R57" s="27" t="str">
        <x:v>AIDC淘汰案源</x:v>
      </x:c>
      <x:c r="S57" s="27" t="str">
        <x:v>統包期末案源</x:v>
      </x:c>
      <x:c r="T57" s="27" t="str">
        <x:v>資管期末案源</x:v>
      </x:c>
      <x:c r="U57" s="27" t="str">
        <x:v>AIDC期末案源</x:v>
      </x:c>
      <x:c r="V57" s="27" t="str">
        <x:v>統包期初訂單</x:v>
      </x:c>
      <x:c r="W57" s="27" t="str">
        <x:v>資管期初訂單</x:v>
      </x:c>
      <x:c r="X57" s="27" t="str">
        <x:v>AIDC期初訂單</x:v>
      </x:c>
      <x:c r="Y57" s="27" t="str">
        <x:v>統包可交付訂單</x:v>
      </x:c>
      <x:c r="Z57" s="27" t="str">
        <x:v>資管可交付訂單</x:v>
      </x:c>
      <x:c r="AA57" s="27" t="str">
        <x:v>AIDC可交付訂單</x:v>
      </x:c>
      <x:c r="AB57" s="27" t="str">
        <x:v>可交付訂單合計</x:v>
      </x:c>
      <x:c r="AC57" s="27" t="str">
        <x:v>OU交付容量</x:v>
      </x:c>
      <x:c r="AD57" s="27" t="str">
        <x:v>可交付需求／容量</x:v>
      </x:c>
      <x:c r="AE57" s="27" t="str">
        <x:v>超負荷毛利減損</x:v>
      </x:c>
      <x:c r="AF57" s="27" t="str">
        <x:v>統包實現毛利率</x:v>
      </x:c>
      <x:c r="AG57" s="27" t="str">
        <x:v>資管實現毛利率</x:v>
      </x:c>
      <x:c r="AH57" s="27" t="str">
        <x:v>AIDC實現毛利率</x:v>
      </x:c>
      <x:c r="AI57" s="27" t="str">
        <x:v>可交付組合毛利率</x:v>
      </x:c>
      <x:c r="AJ57" s="27" t="str">
        <x:v>期初可投入資金池</x:v>
      </x:c>
      <x:c r="AK57" s="27" t="str">
        <x:v>每元營收營運資金需求</x:v>
      </x:c>
      <x:c r="AL57" s="27" t="str">
        <x:v>資金可支持營收</x:v>
      </x:c>
      <x:c r="AM57" s="27" t="str">
        <x:v>營業收入</x:v>
      </x:c>
      <x:c r="AN57" s="27" t="str">
        <x:v>統包營收</x:v>
      </x:c>
      <x:c r="AO57" s="27" t="str">
        <x:v>資管營收</x:v>
      </x:c>
      <x:c r="AP57" s="27" t="str">
        <x:v>AIDC營收</x:v>
      </x:c>
      <x:c r="AQ57" s="27" t="str">
        <x:v>統包期末在手訂單</x:v>
      </x:c>
      <x:c r="AR57" s="27" t="str">
        <x:v>資管期末在手訂單</x:v>
      </x:c>
      <x:c r="AS57" s="27" t="str">
        <x:v>AIDC期末在手訂單</x:v>
      </x:c>
      <x:c r="AT57" s="27" t="str">
        <x:v>期末在手訂單合計</x:v>
      </x:c>
      <x:c r="AU57" s="27" t="str">
        <x:v>直接成本</x:v>
      </x:c>
      <x:c r="AV57" s="27" t="str">
        <x:v>營業毛利</x:v>
      </x:c>
      <x:c r="AW57" s="27" t="str">
        <x:v>毛利率</x:v>
      </x:c>
      <x:c r="AX57" s="27" t="str">
        <x:v>人力費用</x:v>
      </x:c>
      <x:c r="AY57" s="27" t="str">
        <x:v>其他營業費用</x:v>
      </x:c>
      <x:c r="AZ57" s="27" t="str">
        <x:v>營業費用合計</x:v>
      </x:c>
      <x:c r="BA57" s="27" t="str">
        <x:v>營業利益</x:v>
      </x:c>
      <x:c r="BB57" s="27" t="str">
        <x:v>營運資金占用</x:v>
      </x:c>
      <x:c r="BC57" s="27" t="str">
        <x:v>期初借款</x:v>
      </x:c>
      <x:c r="BD57" s="27" t="str">
        <x:v>期末借款</x:v>
      </x:c>
      <x:c r="BE57" s="27" t="str">
        <x:v>平均借款</x:v>
      </x:c>
      <x:c r="BF57" s="27" t="str">
        <x:v>利息費用</x:v>
      </x:c>
      <x:c r="BG57" s="27" t="str">
        <x:v>其他業外淨收入</x:v>
      </x:c>
      <x:c r="BH57" s="27" t="str">
        <x:v>稅前淨利</x:v>
      </x:c>
      <x:c r="BI57" s="27" t="str">
        <x:v>所得稅費用</x:v>
      </x:c>
      <x:c r="BJ57" s="27" t="str">
        <x:v>稅後淨利</x:v>
      </x:c>
      <x:c r="BK57" s="27" t="str">
        <x:v>淨利率</x:v>
      </x:c>
      <x:c r="BL57" s="27" t="str">
        <x:v>資金池增減</x:v>
      </x:c>
      <x:c r="BM57" s="27" t="str">
        <x:v>期末可投入資金池</x:v>
      </x:c>
      <x:c r="BN57" s="27" t="str">
        <x:v>產能不足未交付</x:v>
      </x:c>
      <x:c r="BO57" s="27" t="str">
        <x:v>資金限制未交付</x:v>
      </x:c>
    </x:row>
    <x:row r="58" ht="24" customHeight="1">
      <x:c r="A58" s="2" t="str">
        <x:v>目前FY2027基準</x:v>
      </x:c>
      <x:c r="B58" s="2" t="str"/>
      <x:c r="C58" s="2" t="str"/>
      <x:c r="D58" s="11" t="n">
        <x:f>0</x:f>
        <x:v>0</x:v>
      </x:c>
      <x:c r="E58" s="11" t="n">
        <x:f>0</x:f>
        <x:v>0</x:v>
      </x:c>
      <x:c r="F58" s="11" t="n">
        <x:f>'參數'!$C$47</x:f>
        <x:v>0</x:v>
      </x:c>
      <x:c r="G58" s="11" t="n">
        <x:f>'參數'!$C$48</x:f>
        <x:v>0</x:v>
      </x:c>
      <x:c r="H58" s="11" t="n">
        <x:f>'參數'!$C$49</x:f>
        <x:v>0</x:v>
      </x:c>
      <x:c r="I58" s="11" t="n">
        <x:f>F58+IF($B58="pE",$D58,IF($C58="pE",$E58,'參數'!$C$5))*IF($B58="scale",$D58,IF($C58="scale",$E58,'參數'!$C$8))</x:f>
        <x:v>10</x:v>
      </x:c>
      <x:c r="J58" s="11" t="n">
        <x:f>G58+IF($B58="pM",$D58,IF($C58="pM",$E58,'參數'!$C$6))*IF($B58="scale",$D58,IF($C58="scale",$E58,'參數'!$C$8))</x:f>
        <x:v>15</x:v>
      </x:c>
      <x:c r="K58" s="11" t="n">
        <x:f>H58+IF($B58="pA",$D58,IF($C58="pA",$E58,'參數'!$C$7))*IF($B58="scale",$D58,IF($C58="scale",$E58,'參數'!$C$8))</x:f>
        <x:v>50</x:v>
      </x:c>
      <x:c r="L58" s="11" t="n">
        <x:f>I58*IF($B58="winE",$D58,IF($C58="winE",$E58,'參數'!$C$9))</x:f>
        <x:v>4</x:v>
      </x:c>
      <x:c r="M58" s="28" t="n">
        <x:f>J58*IF($B58="winM",$D58,IF($C58="winM",$E58,'參數'!$C$10))</x:f>
        <x:v>6</x:v>
      </x:c>
      <x:c r="N58" s="28" t="n">
        <x:f>MIN(K58,IF($B58="readyA",$D58,IF($C58="readyA",$E58,'參數'!$C$11))*IF($B58="gateA",$D58,IF($C58="gateA",$E58,'參數'!$C$12)))</x:f>
        <x:v>10</x:v>
      </x:c>
      <x:c r="O58" s="28" t="n">
        <x:f>L58+M58+N58</x:f>
        <x:v>20</x:v>
      </x:c>
      <x:c r="P58" s="28" t="n">
        <x:f>(I58-L58)*IF($B58="attrition",$D58,IF($C58="attrition",$E58,'參數'!$C$13))</x:f>
        <x:v>1.2000000000000002</x:v>
      </x:c>
      <x:c r="Q58" s="28" t="n">
        <x:f>(J58-M58)*IF($B58="attrition",$D58,IF($C58="attrition",$E58,'參數'!$C$13))</x:f>
        <x:v>1.8</x:v>
      </x:c>
      <x:c r="R58" s="28" t="n">
        <x:f>(K58-N58)*IF($B58="attrition",$D58,IF($C58="attrition",$E58,'參數'!$C$13))</x:f>
        <x:v>8</x:v>
      </x:c>
      <x:c r="S58" s="28" t="n">
        <x:f>I58-L58-P58</x:f>
        <x:v>4.8</x:v>
      </x:c>
      <x:c r="T58" s="28" t="n">
        <x:f>J58-M58-Q58</x:f>
        <x:v>7.2</x:v>
      </x:c>
      <x:c r="U58" s="28" t="n">
        <x:f>K58-N58-R58</x:f>
        <x:v>32</x:v>
      </x:c>
      <x:c r="V58" s="28" t="n">
        <x:f>'參數'!$C$44</x:f>
        <x:v>0</x:v>
      </x:c>
      <x:c r="W58" s="28" t="n">
        <x:f>'參數'!$C$45</x:f>
        <x:v>0</x:v>
      </x:c>
      <x:c r="X58" s="28" t="n">
        <x:f>'參數'!$C$46</x:f>
        <x:v>0</x:v>
      </x:c>
      <x:c r="Y58" s="28" t="n">
        <x:f>V58*IF($B58="relE",$D58,IF($C58="relE",$E58,'參數'!$C$17))+L58*IF($B58="nowE",$D58,IF($C58="nowE",$E58,'參數'!$C$14))</x:f>
        <x:v>4</x:v>
      </x:c>
      <x:c r="Z58" s="28" t="n">
        <x:f>W58*IF($B58="relM",$D58,IF($C58="relM",$E58,'參數'!$C$18))+M58*IF($B58="nowM",$D58,IF($C58="nowM",$E58,'參數'!$C$15))</x:f>
        <x:v>6</x:v>
      </x:c>
      <x:c r="AA58" s="28" t="n">
        <x:f>X58*IF($B58="relA",$D58,IF($C58="relA",$E58,'參數'!$C$19))+N58*IF($B58="nowA",$D58,IF($C58="nowA",$E58,'參數'!$C$16))</x:f>
        <x:v>0</x:v>
      </x:c>
      <x:c r="AB58" s="28" t="n">
        <x:f>Y58+Z58+AA58</x:f>
        <x:v>10</x:v>
      </x:c>
      <x:c r="AC58" s="28" t="n">
        <x:f>IF($B58="capacity",$D58,IF($C58="capacity",$E58,'參數'!$C$20))</x:f>
        <x:v>10</x:v>
      </x:c>
      <x:c r="AD58" s="28" t="n">
        <x:f>IF(AC58=0,0,AB58/AC58)</x:f>
        <x:v>1</x:v>
      </x:c>
      <x:c r="AE58" s="29" t="n">
        <x:f>MAX(0,AD58-1)*IF($B58="congestion",$D58,IF($C58="congestion",$E58,'參數'!$C$28))</x:f>
        <x:v>0</x:v>
      </x:c>
      <x:c r="AF58" s="29" t="n">
        <x:f>1-(1-(IF($B58="gmE",$D58,IF($C58="gmE",$E58,'參數'!$C$21))+IF($B58="shock",$D58,IF($C58="shock",$E58,'參數'!$C$26))))*(1+IF($B58="inflation",$D58,IF($C58="inflation",$E58,'參數'!$C$27)))-AE58</x:f>
        <x:v>0.12</x:v>
      </x:c>
      <x:c r="AG58" s="29" t="n">
        <x:f>1-(1-(IF($B58="gmM",$D58,IF($C58="gmM",$E58,'參數'!$C$22))+IF($B58="dev",$D58,IF($C58="dev",$E58,'參數'!$C$23))*IF($B58="devReal",$D58,IF($C58="devReal",$E58,'參數'!$C$24))+IF($B58="shock",$D58,IF($C58="shock",$E58,'參數'!$C$26))))*(1+IF($B58="inflation",$D58,IF($C58="inflation",$E58,'參數'!$C$27)))-AE58</x:f>
        <x:v>0.17999999999999994</x:v>
      </x:c>
      <x:c r="AH58" s="29" t="n">
        <x:f>1-(1-(IF($B58="gmA",$D58,IF($C58="gmA",$E58,'參數'!$C$25))+IF($B58="shock",$D58,IF($C58="shock",$E58,'參數'!$C$26))))*(1+IF($B58="inflation",$D58,IF($C58="inflation",$E58,'參數'!$C$27)))-AE58</x:f>
        <x:v>0.16000000000000003</x:v>
      </x:c>
      <x:c r="AI58" s="29" t="n">
        <x:f>IF(AB58=0,0,(Y58*AF58+Z58*AG58+AA58*AH58)/AB58)</x:f>
        <x:v>0.15599999999999997</x:v>
      </x:c>
      <x:c r="AJ58" s="28" t="n">
        <x:f>'參數'!$C$43</x:f>
        <x:v>1</x:v>
      </x:c>
      <x:c r="AK58" s="28" t="n">
        <x:f>MAX(0,(IF($B58="dso",$D58,IF($C58="dso",$E58,'參數'!$C$32))-(1-AI58)*IF($B58="dpo",$D58,IF($C58="dpo",$E58,'參數'!$C$33)))/365)</x:f>
        <x:v>0.10783561643835614</x:v>
      </x:c>
      <x:c r="AL58" s="28" t="n">
        <x:f>IF(AK58=0,AB58,(MAX(0,AJ58)+IF($B58="credit",$D58,IF($C58="credit",$E58,'參數'!$C$37)))/AK58)</x:f>
        <x:v>37.09349593495936</x:v>
      </x:c>
      <x:c r="AM58" s="28" t="n">
        <x:f>MIN(AB58,AC58,AL58)</x:f>
        <x:v>10</x:v>
      </x:c>
      <x:c r="AN58" s="28" t="n">
        <x:f>IF(AB58=0,0,AM58*Y58/AB58)</x:f>
        <x:v>4</x:v>
      </x:c>
      <x:c r="AO58" s="28" t="n">
        <x:f>IF(AB58=0,0,AM58*Z58/AB58)</x:f>
        <x:v>6</x:v>
      </x:c>
      <x:c r="AP58" s="28" t="n">
        <x:f>IF(AB58=0,0,AM58*AA58/AB58)</x:f>
        <x:v>0</x:v>
      </x:c>
      <x:c r="AQ58" s="28" t="n">
        <x:f>V58+L58-AN58</x:f>
        <x:v>0</x:v>
      </x:c>
      <x:c r="AR58" s="28" t="n">
        <x:f>W58+M58-AO58</x:f>
        <x:v>0</x:v>
      </x:c>
      <x:c r="AS58" s="28" t="n">
        <x:f>X58+N58-AP58</x:f>
        <x:v>10</x:v>
      </x:c>
      <x:c r="AT58" s="28" t="n">
        <x:f>AQ58+AR58+AS58</x:f>
        <x:v>10</x:v>
      </x:c>
      <x:c r="AU58" s="28" t="n">
        <x:f>AN58*(1-AF58)+AO58*(1-AG58)+AP58*(1-AH58)</x:f>
        <x:v>8.44</x:v>
      </x:c>
      <x:c r="AV58" s="28" t="n">
        <x:f>AM58-AU58</x:f>
        <x:v>1.5600000000000005</x:v>
      </x:c>
      <x:c r="AW58" s="29" t="n">
        <x:f>IF(AM58=0,0,AV58/AM58)</x:f>
        <x:v>0.15600000000000006</x:v>
      </x:c>
      <x:c r="AX58" s="28" t="n">
        <x:f>IF($B58="head",$D58,IF($C58="head",$E58,'參數'!$C$29))*IF($B58="wage",$D58,IF($C58="wage",$E58,'參數'!$C$30))</x:f>
        <x:v>0.22</x:v>
      </x:c>
      <x:c r="AY58" s="28" t="n">
        <x:f>IF($B58="opex",$D58,IF($C58="opex",$E58,'參數'!$C$31))</x:f>
        <x:v>0.23</x:v>
      </x:c>
      <x:c r="AZ58" s="28" t="n">
        <x:f>AX58+AY58</x:f>
        <x:v>0.45</x:v>
      </x:c>
      <x:c r="BA58" s="28" t="n">
        <x:f>AV58-AZ58</x:f>
        <x:v>1.1100000000000005</x:v>
      </x:c>
      <x:c r="BB58" s="28" t="n">
        <x:f>AM58*AK58</x:f>
        <x:v>1.0783561643835613</x:v>
      </x:c>
      <x:c r="BC58" s="28" t="n">
        <x:f>0</x:f>
        <x:v>0</x:v>
      </x:c>
      <x:c r="BD58" s="28" t="n">
        <x:f>MAX(0,BB58-MAX(0,AJ58))</x:f>
        <x:v>0.0783561643835613</x:v>
      </x:c>
      <x:c r="BE58" s="28" t="n">
        <x:f>(BC58+BD58)/2</x:f>
        <x:v>0.03917808219178065</x:v>
      </x:c>
      <x:c r="BF58" s="28" t="n">
        <x:f>BE58*IF($B58="rate",$D58,IF($C58="rate",$E58,'參數'!$C$34))</x:f>
        <x:v>0.001567123287671226</x:v>
      </x:c>
      <x:c r="BG58" s="28" t="n">
        <x:f>IF($B58="nonop",$D58,IF($C58="nonop",$E58,'參數'!$C$36))</x:f>
        <x:v>0.02</x:v>
      </x:c>
      <x:c r="BH58" s="28" t="n">
        <x:f>BA58+BG58-BF58</x:f>
        <x:v>1.1284328767123293</x:v>
      </x:c>
      <x:c r="BI58" s="28" t="n">
        <x:f>MAX(0,BH58)*IF($B58="tax",$D58,IF($C58="tax",$E58,'參數'!$C$35))</x:f>
        <x:v>0.22568657534246586</x:v>
      </x:c>
      <x:c r="BJ58" s="28" t="n">
        <x:f>BH58-BI58</x:f>
        <x:v>0.9027463013698634</x:v>
      </x:c>
      <x:c r="BK58" s="29" t="n">
        <x:f>IF(AM58=0,0,BJ58/AM58)</x:f>
        <x:v>0.09027463013698635</x:v>
      </x:c>
      <x:c r="BL58" s="28" t="n">
        <x:f>IF(BJ58&gt;=0,BJ58*IF($B58="retain",$D58,IF($C58="retain",$E58,'參數'!$C$38)),BJ58)</x:f>
        <x:v>0.4513731506849317</x:v>
      </x:c>
      <x:c r="BM58" s="28" t="n">
        <x:f>AJ58+BL58</x:f>
        <x:v>1.4513731506849317</x:v>
      </x:c>
      <x:c r="BN58" s="28" t="n">
        <x:f>MAX(0,AB58-AC58)</x:f>
        <x:v>0</x:v>
      </x:c>
      <x:c r="BO58" s="28" t="n">
        <x:f>MAX(0,MIN(AB58,AC58)-AM58)</x:f>
        <x:v>0</x:v>
      </x:c>
    </x:row>
    <x:row r="59" ht="24" customHeight="1">
      <x:c r="A59" s="2" t="str">
        <x:v>新增案源規模倍率低端</x:v>
      </x:c>
      <x:c r="B59" s="2" t="str">
        <x:v>scale</x:v>
      </x:c>
      <x:c r="C59" s="2" t="str"/>
      <x:c r="D59" s="11" t="n">
        <x:f>C5</x:f>
        <x:v>0.8</x:v>
      </x:c>
      <x:c r="E59" s="11" t="n">
        <x:f>0</x:f>
        <x:v>0</x:v>
      </x:c>
      <x:c r="F59" s="11" t="n">
        <x:f>'參數'!$C$47</x:f>
        <x:v>0</x:v>
      </x:c>
      <x:c r="G59" s="11" t="n">
        <x:f>'參數'!$C$48</x:f>
        <x:v>0</x:v>
      </x:c>
      <x:c r="H59" s="11" t="n">
        <x:f>'參數'!$C$49</x:f>
        <x:v>0</x:v>
      </x:c>
      <x:c r="I59" s="11" t="n">
        <x:f>F59+IF($B59="pE",$D59,IF($C59="pE",$E59,'參數'!$C$5))*IF($B59="scale",$D59,IF($C59="scale",$E59,'參數'!$C$8))</x:f>
        <x:v>8</x:v>
      </x:c>
      <x:c r="J59" s="11" t="n">
        <x:f>G59+IF($B59="pM",$D59,IF($C59="pM",$E59,'參數'!$C$6))*IF($B59="scale",$D59,IF($C59="scale",$E59,'參數'!$C$8))</x:f>
        <x:v>12</x:v>
      </x:c>
      <x:c r="K59" s="11" t="n">
        <x:f>H59+IF($B59="pA",$D59,IF($C59="pA",$E59,'參數'!$C$7))*IF($B59="scale",$D59,IF($C59="scale",$E59,'參數'!$C$8))</x:f>
        <x:v>40</x:v>
      </x:c>
      <x:c r="L59" s="11" t="n">
        <x:f>I59*IF($B59="winE",$D59,IF($C59="winE",$E59,'參數'!$C$9))</x:f>
        <x:v>3.2</x:v>
      </x:c>
      <x:c r="M59" s="28" t="n">
        <x:f>J59*IF($B59="winM",$D59,IF($C59="winM",$E59,'參數'!$C$10))</x:f>
        <x:v>4.800000000000001</x:v>
      </x:c>
      <x:c r="N59" s="28" t="n">
        <x:f>MIN(K59,IF($B59="readyA",$D59,IF($C59="readyA",$E59,'參數'!$C$11))*IF($B59="gateA",$D59,IF($C59="gateA",$E59,'參數'!$C$12)))</x:f>
        <x:v>10</x:v>
      </x:c>
      <x:c r="O59" s="28" t="n">
        <x:f>L59+M59+N59</x:f>
        <x:v>18</x:v>
      </x:c>
      <x:c r="P59" s="28" t="n">
        <x:f>(I59-L59)*IF($B59="attrition",$D59,IF($C59="attrition",$E59,'參數'!$C$13))</x:f>
        <x:v>0.96</x:v>
      </x:c>
      <x:c r="Q59" s="28" t="n">
        <x:f>(J59-M59)*IF($B59="attrition",$D59,IF($C59="attrition",$E59,'參數'!$C$13))</x:f>
        <x:v>1.44</x:v>
      </x:c>
      <x:c r="R59" s="28" t="n">
        <x:f>(K59-N59)*IF($B59="attrition",$D59,IF($C59="attrition",$E59,'參數'!$C$13))</x:f>
        <x:v>6</x:v>
      </x:c>
      <x:c r="S59" s="28" t="n">
        <x:f>I59-L59-P59</x:f>
        <x:v>3.84</x:v>
      </x:c>
      <x:c r="T59" s="28" t="n">
        <x:f>J59-M59-Q59</x:f>
        <x:v>5.76</x:v>
      </x:c>
      <x:c r="U59" s="28" t="n">
        <x:f>K59-N59-R59</x:f>
        <x:v>24</x:v>
      </x:c>
      <x:c r="V59" s="28" t="n">
        <x:f>'參數'!$C$44</x:f>
        <x:v>0</x:v>
      </x:c>
      <x:c r="W59" s="28" t="n">
        <x:f>'參數'!$C$45</x:f>
        <x:v>0</x:v>
      </x:c>
      <x:c r="X59" s="28" t="n">
        <x:f>'參數'!$C$46</x:f>
        <x:v>0</x:v>
      </x:c>
      <x:c r="Y59" s="28" t="n">
        <x:f>V59*IF($B59="relE",$D59,IF($C59="relE",$E59,'參數'!$C$17))+L59*IF($B59="nowE",$D59,IF($C59="nowE",$E59,'參數'!$C$14))</x:f>
        <x:v>3.2</x:v>
      </x:c>
      <x:c r="Z59" s="28" t="n">
        <x:f>W59*IF($B59="relM",$D59,IF($C59="relM",$E59,'參數'!$C$18))+M59*IF($B59="nowM",$D59,IF($C59="nowM",$E59,'參數'!$C$15))</x:f>
        <x:v>4.800000000000001</x:v>
      </x:c>
      <x:c r="AA59" s="28" t="n">
        <x:f>X59*IF($B59="relA",$D59,IF($C59="relA",$E59,'參數'!$C$19))+N59*IF($B59="nowA",$D59,IF($C59="nowA",$E59,'參數'!$C$16))</x:f>
        <x:v>0</x:v>
      </x:c>
      <x:c r="AB59" s="28" t="n">
        <x:f>Y59+Z59+AA59</x:f>
        <x:v>8</x:v>
      </x:c>
      <x:c r="AC59" s="28" t="n">
        <x:f>IF($B59="capacity",$D59,IF($C59="capacity",$E59,'參數'!$C$20))</x:f>
        <x:v>10</x:v>
      </x:c>
      <x:c r="AD59" s="28" t="n">
        <x:f>IF(AC59=0,0,AB59/AC59)</x:f>
        <x:v>0.8</x:v>
      </x:c>
      <x:c r="AE59" s="29" t="n">
        <x:f>MAX(0,AD59-1)*IF($B59="congestion",$D59,IF($C59="congestion",$E59,'參數'!$C$28))</x:f>
        <x:v>0</x:v>
      </x:c>
      <x:c r="AF59" s="29" t="n">
        <x:f>1-(1-(IF($B59="gmE",$D59,IF($C59="gmE",$E59,'參數'!$C$21))+IF($B59="shock",$D59,IF($C59="shock",$E59,'參數'!$C$26))))*(1+IF($B59="inflation",$D59,IF($C59="inflation",$E59,'參數'!$C$27)))-AE59</x:f>
        <x:v>0.12</x:v>
      </x:c>
      <x:c r="AG59" s="29" t="n">
        <x:f>1-(1-(IF($B59="gmM",$D59,IF($C59="gmM",$E59,'參數'!$C$22))+IF($B59="dev",$D59,IF($C59="dev",$E59,'參數'!$C$23))*IF($B59="devReal",$D59,IF($C59="devReal",$E59,'參數'!$C$24))+IF($B59="shock",$D59,IF($C59="shock",$E59,'參數'!$C$26))))*(1+IF($B59="inflation",$D59,IF($C59="inflation",$E59,'參數'!$C$27)))-AE59</x:f>
        <x:v>0.17999999999999994</x:v>
      </x:c>
      <x:c r="AH59" s="29" t="n">
        <x:f>1-(1-(IF($B59="gmA",$D59,IF($C59="gmA",$E59,'參數'!$C$25))+IF($B59="shock",$D59,IF($C59="shock",$E59,'參數'!$C$26))))*(1+IF($B59="inflation",$D59,IF($C59="inflation",$E59,'參數'!$C$27)))-AE59</x:f>
        <x:v>0.16000000000000003</x:v>
      </x:c>
      <x:c r="AI59" s="29" t="n">
        <x:f>IF(AB59=0,0,(Y59*AF59+Z59*AG59+AA59*AH59)/AB59)</x:f>
        <x:v>0.15599999999999997</x:v>
      </x:c>
      <x:c r="AJ59" s="28" t="n">
        <x:f>'參數'!$C$43</x:f>
        <x:v>1</x:v>
      </x:c>
      <x:c r="AK59" s="28" t="n">
        <x:f>MAX(0,(IF($B59="dso",$D59,IF($C59="dso",$E59,'參數'!$C$32))-(1-AI59)*IF($B59="dpo",$D59,IF($C59="dpo",$E59,'參數'!$C$33)))/365)</x:f>
        <x:v>0.10783561643835614</x:v>
      </x:c>
      <x:c r="AL59" s="28" t="n">
        <x:f>IF(AK59=0,AB59,(MAX(0,AJ59)+IF($B59="credit",$D59,IF($C59="credit",$E59,'參數'!$C$37)))/AK59)</x:f>
        <x:v>37.09349593495936</x:v>
      </x:c>
      <x:c r="AM59" s="28" t="n">
        <x:f>MIN(AB59,AC59,AL59)</x:f>
        <x:v>8</x:v>
      </x:c>
      <x:c r="AN59" s="28" t="n">
        <x:f>IF(AB59=0,0,AM59*Y59/AB59)</x:f>
        <x:v>3.2</x:v>
      </x:c>
      <x:c r="AO59" s="28" t="n">
        <x:f>IF(AB59=0,0,AM59*Z59/AB59)</x:f>
        <x:v>4.800000000000001</x:v>
      </x:c>
      <x:c r="AP59" s="28" t="n">
        <x:f>IF(AB59=0,0,AM59*AA59/AB59)</x:f>
        <x:v>0</x:v>
      </x:c>
      <x:c r="AQ59" s="28" t="n">
        <x:f>V59+L59-AN59</x:f>
        <x:v>0</x:v>
      </x:c>
      <x:c r="AR59" s="28" t="n">
        <x:f>W59+M59-AO59</x:f>
        <x:v>0</x:v>
      </x:c>
      <x:c r="AS59" s="28" t="n">
        <x:f>X59+N59-AP59</x:f>
        <x:v>10</x:v>
      </x:c>
      <x:c r="AT59" s="28" t="n">
        <x:f>AQ59+AR59+AS59</x:f>
        <x:v>10</x:v>
      </x:c>
      <x:c r="AU59" s="28" t="n">
        <x:f>AN59*(1-AF59)+AO59*(1-AG59)+AP59*(1-AH59)</x:f>
        <x:v>6.752000000000001</x:v>
      </x:c>
      <x:c r="AV59" s="28" t="n">
        <x:f>AM59-AU59</x:f>
        <x:v>1.2479999999999993</x:v>
      </x:c>
      <x:c r="AW59" s="29" t="n">
        <x:f>IF(AM59=0,0,AV59/AM59)</x:f>
        <x:v>0.15599999999999992</x:v>
      </x:c>
      <x:c r="AX59" s="28" t="n">
        <x:f>IF($B59="head",$D59,IF($C59="head",$E59,'參數'!$C$29))*IF($B59="wage",$D59,IF($C59="wage",$E59,'參數'!$C$30))</x:f>
        <x:v>0.22</x:v>
      </x:c>
      <x:c r="AY59" s="28" t="n">
        <x:f>IF($B59="opex",$D59,IF($C59="opex",$E59,'參數'!$C$31))</x:f>
        <x:v>0.23</x:v>
      </x:c>
      <x:c r="AZ59" s="28" t="n">
        <x:f>AX59+AY59</x:f>
        <x:v>0.45</x:v>
      </x:c>
      <x:c r="BA59" s="28" t="n">
        <x:f>AV59-AZ59</x:f>
        <x:v>0.7979999999999994</x:v>
      </x:c>
      <x:c r="BB59" s="28" t="n">
        <x:f>AM59*AK59</x:f>
        <x:v>0.8626849315068491</x:v>
      </x:c>
      <x:c r="BC59" s="28" t="n">
        <x:f>0</x:f>
        <x:v>0</x:v>
      </x:c>
      <x:c r="BD59" s="28" t="n">
        <x:f>MAX(0,BB59-MAX(0,AJ59))</x:f>
        <x:v>0</x:v>
      </x:c>
      <x:c r="BE59" s="28" t="n">
        <x:f>(BC59+BD59)/2</x:f>
        <x:v>0</x:v>
      </x:c>
      <x:c r="BF59" s="28" t="n">
        <x:f>BE59*IF($B59="rate",$D59,IF($C59="rate",$E59,'參數'!$C$34))</x:f>
        <x:v>0</x:v>
      </x:c>
      <x:c r="BG59" s="28" t="n">
        <x:f>IF($B59="nonop",$D59,IF($C59="nonop",$E59,'參數'!$C$36))</x:f>
        <x:v>0.02</x:v>
      </x:c>
      <x:c r="BH59" s="28" t="n">
        <x:f>BA59+BG59-BF59</x:f>
        <x:v>0.8179999999999994</x:v>
      </x:c>
      <x:c r="BI59" s="28" t="n">
        <x:f>MAX(0,BH59)*IF($B59="tax",$D59,IF($C59="tax",$E59,'參數'!$C$35))</x:f>
        <x:v>0.16359999999999988</x:v>
      </x:c>
      <x:c r="BJ59" s="28" t="n">
        <x:f>BH59-BI59</x:f>
        <x:v>0.6543999999999995</x:v>
      </x:c>
      <x:c r="BK59" s="29" t="n">
        <x:f>IF(AM59=0,0,BJ59/AM59)</x:f>
        <x:v>0.08179999999999994</x:v>
      </x:c>
      <x:c r="BL59" s="28" t="n">
        <x:f>IF(BJ59&gt;=0,BJ59*IF($B59="retain",$D59,IF($C59="retain",$E59,'參數'!$C$38)),BJ59)</x:f>
        <x:v>0.32719999999999977</x:v>
      </x:c>
      <x:c r="BM59" s="28" t="n">
        <x:f>AJ59+BL59</x:f>
        <x:v>1.3271999999999997</x:v>
      </x:c>
      <x:c r="BN59" s="28" t="n">
        <x:f>MAX(0,AB59-AC59)</x:f>
        <x:v>0</x:v>
      </x:c>
      <x:c r="BO59" s="28" t="n">
        <x:f>MAX(0,MIN(AB59,AC59)-AM59)</x:f>
        <x:v>0</x:v>
      </x:c>
    </x:row>
    <x:row r="60" ht="24" customHeight="1">
      <x:c r="A60" s="2" t="str">
        <x:v>新增案源規模倍率高端</x:v>
      </x:c>
      <x:c r="B60" s="2" t="str">
        <x:v>scale</x:v>
      </x:c>
      <x:c r="C60" s="2" t="str"/>
      <x:c r="D60" s="11" t="n">
        <x:f>D5</x:f>
        <x:v>1.2</x:v>
      </x:c>
      <x:c r="E60" s="11" t="n">
        <x:f>0</x:f>
        <x:v>0</x:v>
      </x:c>
      <x:c r="F60" s="11" t="n">
        <x:f>'參數'!$C$47</x:f>
        <x:v>0</x:v>
      </x:c>
      <x:c r="G60" s="11" t="n">
        <x:f>'參數'!$C$48</x:f>
        <x:v>0</x:v>
      </x:c>
      <x:c r="H60" s="11" t="n">
        <x:f>'參數'!$C$49</x:f>
        <x:v>0</x:v>
      </x:c>
      <x:c r="I60" s="11" t="n">
        <x:f>F60+IF($B60="pE",$D60,IF($C60="pE",$E60,'參數'!$C$5))*IF($B60="scale",$D60,IF($C60="scale",$E60,'參數'!$C$8))</x:f>
        <x:v>12</x:v>
      </x:c>
      <x:c r="J60" s="11" t="n">
        <x:f>G60+IF($B60="pM",$D60,IF($C60="pM",$E60,'參數'!$C$6))*IF($B60="scale",$D60,IF($C60="scale",$E60,'參數'!$C$8))</x:f>
        <x:v>18</x:v>
      </x:c>
      <x:c r="K60" s="11" t="n">
        <x:f>H60+IF($B60="pA",$D60,IF($C60="pA",$E60,'參數'!$C$7))*IF($B60="scale",$D60,IF($C60="scale",$E60,'參數'!$C$8))</x:f>
        <x:v>60</x:v>
      </x:c>
      <x:c r="L60" s="11" t="n">
        <x:f>I60*IF($B60="winE",$D60,IF($C60="winE",$E60,'參數'!$C$9))</x:f>
        <x:v>4.800000000000001</x:v>
      </x:c>
      <x:c r="M60" s="28" t="n">
        <x:f>J60*IF($B60="winM",$D60,IF($C60="winM",$E60,'參數'!$C$10))</x:f>
        <x:v>7.2</x:v>
      </x:c>
      <x:c r="N60" s="28" t="n">
        <x:f>MIN(K60,IF($B60="readyA",$D60,IF($C60="readyA",$E60,'參數'!$C$11))*IF($B60="gateA",$D60,IF($C60="gateA",$E60,'參數'!$C$12)))</x:f>
        <x:v>10</x:v>
      </x:c>
      <x:c r="O60" s="28" t="n">
        <x:f>L60+M60+N60</x:f>
        <x:v>22</x:v>
      </x:c>
      <x:c r="P60" s="28" t="n">
        <x:f>(I60-L60)*IF($B60="attrition",$D60,IF($C60="attrition",$E60,'參數'!$C$13))</x:f>
        <x:v>1.44</x:v>
      </x:c>
      <x:c r="Q60" s="28" t="n">
        <x:f>(J60-M60)*IF($B60="attrition",$D60,IF($C60="attrition",$E60,'參數'!$C$13))</x:f>
        <x:v>2.16</x:v>
      </x:c>
      <x:c r="R60" s="28" t="n">
        <x:f>(K60-N60)*IF($B60="attrition",$D60,IF($C60="attrition",$E60,'參數'!$C$13))</x:f>
        <x:v>10</x:v>
      </x:c>
      <x:c r="S60" s="28" t="n">
        <x:f>I60-L60-P60</x:f>
        <x:v>5.76</x:v>
      </x:c>
      <x:c r="T60" s="28" t="n">
        <x:f>J60-M60-Q60</x:f>
        <x:v>8.64</x:v>
      </x:c>
      <x:c r="U60" s="28" t="n">
        <x:f>K60-N60-R60</x:f>
        <x:v>40</x:v>
      </x:c>
      <x:c r="V60" s="28" t="n">
        <x:f>'參數'!$C$44</x:f>
        <x:v>0</x:v>
      </x:c>
      <x:c r="W60" s="28" t="n">
        <x:f>'參數'!$C$45</x:f>
        <x:v>0</x:v>
      </x:c>
      <x:c r="X60" s="28" t="n">
        <x:f>'參數'!$C$46</x:f>
        <x:v>0</x:v>
      </x:c>
      <x:c r="Y60" s="28" t="n">
        <x:f>V60*IF($B60="relE",$D60,IF($C60="relE",$E60,'參數'!$C$17))+L60*IF($B60="nowE",$D60,IF($C60="nowE",$E60,'參數'!$C$14))</x:f>
        <x:v>4.800000000000001</x:v>
      </x:c>
      <x:c r="Z60" s="28" t="n">
        <x:f>W60*IF($B60="relM",$D60,IF($C60="relM",$E60,'參數'!$C$18))+M60*IF($B60="nowM",$D60,IF($C60="nowM",$E60,'參數'!$C$15))</x:f>
        <x:v>7.2</x:v>
      </x:c>
      <x:c r="AA60" s="28" t="n">
        <x:f>X60*IF($B60="relA",$D60,IF($C60="relA",$E60,'參數'!$C$19))+N60*IF($B60="nowA",$D60,IF($C60="nowA",$E60,'參數'!$C$16))</x:f>
        <x:v>0</x:v>
      </x:c>
      <x:c r="AB60" s="28" t="n">
        <x:f>Y60+Z60+AA60</x:f>
        <x:v>12</x:v>
      </x:c>
      <x:c r="AC60" s="28" t="n">
        <x:f>IF($B60="capacity",$D60,IF($C60="capacity",$E60,'參數'!$C$20))</x:f>
        <x:v>10</x:v>
      </x:c>
      <x:c r="AD60" s="28" t="n">
        <x:f>IF(AC60=0,0,AB60/AC60)</x:f>
        <x:v>1.2</x:v>
      </x:c>
      <x:c r="AE60" s="29" t="n">
        <x:f>MAX(0,AD60-1)*IF($B60="congestion",$D60,IF($C60="congestion",$E60,'參數'!$C$28))</x:f>
        <x:v>0.0019999999999999996</x:v>
      </x:c>
      <x:c r="AF60" s="29" t="n">
        <x:f>1-(1-(IF($B60="gmE",$D60,IF($C60="gmE",$E60,'參數'!$C$21))+IF($B60="shock",$D60,IF($C60="shock",$E60,'參數'!$C$26))))*(1+IF($B60="inflation",$D60,IF($C60="inflation",$E60,'參數'!$C$27)))-AE60</x:f>
        <x:v>0.118</x:v>
      </x:c>
      <x:c r="AG60" s="29" t="n">
        <x:f>1-(1-(IF($B60="gmM",$D60,IF($C60="gmM",$E60,'參數'!$C$22))+IF($B60="dev",$D60,IF($C60="dev",$E60,'參數'!$C$23))*IF($B60="devReal",$D60,IF($C60="devReal",$E60,'參數'!$C$24))+IF($B60="shock",$D60,IF($C60="shock",$E60,'參數'!$C$26))))*(1+IF($B60="inflation",$D60,IF($C60="inflation",$E60,'參數'!$C$27)))-AE60</x:f>
        <x:v>0.17799999999999994</x:v>
      </x:c>
      <x:c r="AH60" s="29" t="n">
        <x:f>1-(1-(IF($B60="gmA",$D60,IF($C60="gmA",$E60,'參數'!$C$25))+IF($B60="shock",$D60,IF($C60="shock",$E60,'參數'!$C$26))))*(1+IF($B60="inflation",$D60,IF($C60="inflation",$E60,'參數'!$C$27)))-AE60</x:f>
        <x:v>0.15800000000000003</x:v>
      </x:c>
      <x:c r="AI60" s="29" t="n">
        <x:f>IF(AB60=0,0,(Y60*AF60+Z60*AG60+AA60*AH60)/AB60)</x:f>
        <x:v>0.15399999999999997</x:v>
      </x:c>
      <x:c r="AJ60" s="28" t="n">
        <x:f>'參數'!$C$43</x:f>
        <x:v>1</x:v>
      </x:c>
      <x:c r="AK60" s="28" t="n">
        <x:f>MAX(0,(IF($B60="dso",$D60,IF($C60="dso",$E60,'參數'!$C$32))-(1-AI60)*IF($B60="dpo",$D60,IF($C60="dpo",$E60,'參數'!$C$33)))/365)</x:f>
        <x:v>0.10750684931506847</x:v>
      </x:c>
      <x:c r="AL60" s="28" t="n">
        <x:f>IF(AK60=0,AB60,(MAX(0,AJ60)+IF($B60="credit",$D60,IF($C60="credit",$E60,'參數'!$C$37)))/AK60)</x:f>
        <x:v>37.206931702344555</x:v>
      </x:c>
      <x:c r="AM60" s="28" t="n">
        <x:f>MIN(AB60,AC60,AL60)</x:f>
        <x:v>10</x:v>
      </x:c>
      <x:c r="AN60" s="28" t="n">
        <x:f>IF(AB60=0,0,AM60*Y60/AB60)</x:f>
        <x:v>4.000000000000001</x:v>
      </x:c>
      <x:c r="AO60" s="28" t="n">
        <x:f>IF(AB60=0,0,AM60*Z60/AB60)</x:f>
        <x:v>6</x:v>
      </x:c>
      <x:c r="AP60" s="28" t="n">
        <x:f>IF(AB60=0,0,AM60*AA60/AB60)</x:f>
        <x:v>0</x:v>
      </x:c>
      <x:c r="AQ60" s="28" t="n">
        <x:f>V60+L60-AN60</x:f>
        <x:v>0.7999999999999998</x:v>
      </x:c>
      <x:c r="AR60" s="28" t="n">
        <x:f>W60+M60-AO60</x:f>
        <x:v>1.2000000000000002</x:v>
      </x:c>
      <x:c r="AS60" s="28" t="n">
        <x:f>X60+N60-AP60</x:f>
        <x:v>10</x:v>
      </x:c>
      <x:c r="AT60" s="28" t="n">
        <x:f>AQ60+AR60+AS60</x:f>
        <x:v>12</x:v>
      </x:c>
      <x:c r="AU60" s="28" t="n">
        <x:f>AN60*(1-AF60)+AO60*(1-AG60)+AP60*(1-AH60)</x:f>
        <x:v>8.46</x:v>
      </x:c>
      <x:c r="AV60" s="28" t="n">
        <x:f>AM60-AU60</x:f>
        <x:v>1.5399999999999991</x:v>
      </x:c>
      <x:c r="AW60" s="29" t="n">
        <x:f>IF(AM60=0,0,AV60/AM60)</x:f>
        <x:v>0.15399999999999991</x:v>
      </x:c>
      <x:c r="AX60" s="28" t="n">
        <x:f>IF($B60="head",$D60,IF($C60="head",$E60,'參數'!$C$29))*IF($B60="wage",$D60,IF($C60="wage",$E60,'參數'!$C$30))</x:f>
        <x:v>0.22</x:v>
      </x:c>
      <x:c r="AY60" s="28" t="n">
        <x:f>IF($B60="opex",$D60,IF($C60="opex",$E60,'參數'!$C$31))</x:f>
        <x:v>0.23</x:v>
      </x:c>
      <x:c r="AZ60" s="28" t="n">
        <x:f>AX60+AY60</x:f>
        <x:v>0.45</x:v>
      </x:c>
      <x:c r="BA60" s="28" t="n">
        <x:f>AV60-AZ60</x:f>
        <x:v>1.0899999999999992</x:v>
      </x:c>
      <x:c r="BB60" s="28" t="n">
        <x:f>AM60*AK60</x:f>
        <x:v>1.0750684931506846</x:v>
      </x:c>
      <x:c r="BC60" s="28" t="n">
        <x:f>0</x:f>
        <x:v>0</x:v>
      </x:c>
      <x:c r="BD60" s="28" t="n">
        <x:f>MAX(0,BB60-MAX(0,AJ60))</x:f>
        <x:v>0.07506849315068465</x:v>
      </x:c>
      <x:c r="BE60" s="28" t="n">
        <x:f>(BC60+BD60)/2</x:f>
        <x:v>0.03753424657534232</x:v>
      </x:c>
      <x:c r="BF60" s="28" t="n">
        <x:f>BE60*IF($B60="rate",$D60,IF($C60="rate",$E60,'參數'!$C$34))</x:f>
        <x:v>0.0015013698630136929</x:v>
      </x:c>
      <x:c r="BG60" s="28" t="n">
        <x:f>IF($B60="nonop",$D60,IF($C60="nonop",$E60,'參數'!$C$36))</x:f>
        <x:v>0.02</x:v>
      </x:c>
      <x:c r="BH60" s="28" t="n">
        <x:f>BA60+BG60-BF60</x:f>
        <x:v>1.1084986301369855</x:v>
      </x:c>
      <x:c r="BI60" s="28" t="n">
        <x:f>MAX(0,BH60)*IF($B60="tax",$D60,IF($C60="tax",$E60,'參數'!$C$35))</x:f>
        <x:v>0.2216997260273971</x:v>
      </x:c>
      <x:c r="BJ60" s="28" t="n">
        <x:f>BH60-BI60</x:f>
        <x:v>0.8867989041095884</x:v>
      </x:c>
      <x:c r="BK60" s="29" t="n">
        <x:f>IF(AM60=0,0,BJ60/AM60)</x:f>
        <x:v>0.08867989041095883</x:v>
      </x:c>
      <x:c r="BL60" s="28" t="n">
        <x:f>IF(BJ60&gt;=0,BJ60*IF($B60="retain",$D60,IF($C60="retain",$E60,'參數'!$C$38)),BJ60)</x:f>
        <x:v>0.4433994520547942</x:v>
      </x:c>
      <x:c r="BM60" s="28" t="n">
        <x:f>AJ60+BL60</x:f>
        <x:v>1.4433994520547941</x:v>
      </x:c>
      <x:c r="BN60" s="28" t="n">
        <x:f>MAX(0,AB60-AC60)</x:f>
        <x:v>2</x:v>
      </x:c>
      <x:c r="BO60" s="28" t="n">
        <x:f>MAX(0,MIN(AB60,AC60)-AM60)</x:f>
        <x:v>0</x:v>
      </x:c>
    </x:row>
    <x:row r="61" ht="24" customHeight="1">
      <x:c r="A61" s="2" t="str">
        <x:v>統包年度簽約轉化率低端</x:v>
      </x:c>
      <x:c r="B61" s="2" t="str">
        <x:v>winE</x:v>
      </x:c>
      <x:c r="C61" s="2" t="str"/>
      <x:c r="D61" s="11" t="n">
        <x:f>C6</x:f>
        <x:v>0.30000000000000004</x:v>
      </x:c>
      <x:c r="E61" s="11" t="n">
        <x:f>0</x:f>
        <x:v>0</x:v>
      </x:c>
      <x:c r="F61" s="11" t="n">
        <x:f>'參數'!$C$47</x:f>
        <x:v>0</x:v>
      </x:c>
      <x:c r="G61" s="11" t="n">
        <x:f>'參數'!$C$48</x:f>
        <x:v>0</x:v>
      </x:c>
      <x:c r="H61" s="11" t="n">
        <x:f>'參數'!$C$49</x:f>
        <x:v>0</x:v>
      </x:c>
      <x:c r="I61" s="11" t="n">
        <x:f>F61+IF($B61="pE",$D61,IF($C61="pE",$E61,'參數'!$C$5))*IF($B61="scale",$D61,IF($C61="scale",$E61,'參數'!$C$8))</x:f>
        <x:v>10</x:v>
      </x:c>
      <x:c r="J61" s="11" t="n">
        <x:f>G61+IF($B61="pM",$D61,IF($C61="pM",$E61,'參數'!$C$6))*IF($B61="scale",$D61,IF($C61="scale",$E61,'參數'!$C$8))</x:f>
        <x:v>15</x:v>
      </x:c>
      <x:c r="K61" s="11" t="n">
        <x:f>H61+IF($B61="pA",$D61,IF($C61="pA",$E61,'參數'!$C$7))*IF($B61="scale",$D61,IF($C61="scale",$E61,'參數'!$C$8))</x:f>
        <x:v>50</x:v>
      </x:c>
      <x:c r="L61" s="11" t="n">
        <x:f>I61*IF($B61="winE",$D61,IF($C61="winE",$E61,'參數'!$C$9))</x:f>
        <x:v>3.0000000000000004</x:v>
      </x:c>
      <x:c r="M61" s="28" t="n">
        <x:f>J61*IF($B61="winM",$D61,IF($C61="winM",$E61,'參數'!$C$10))</x:f>
        <x:v>6</x:v>
      </x:c>
      <x:c r="N61" s="28" t="n">
        <x:f>MIN(K61,IF($B61="readyA",$D61,IF($C61="readyA",$E61,'參數'!$C$11))*IF($B61="gateA",$D61,IF($C61="gateA",$E61,'參數'!$C$12)))</x:f>
        <x:v>10</x:v>
      </x:c>
      <x:c r="O61" s="28" t="n">
        <x:f>L61+M61+N61</x:f>
        <x:v>19</x:v>
      </x:c>
      <x:c r="P61" s="28" t="n">
        <x:f>(I61-L61)*IF($B61="attrition",$D61,IF($C61="attrition",$E61,'參數'!$C$13))</x:f>
        <x:v>1.4000000000000001</x:v>
      </x:c>
      <x:c r="Q61" s="28" t="n">
        <x:f>(J61-M61)*IF($B61="attrition",$D61,IF($C61="attrition",$E61,'參數'!$C$13))</x:f>
        <x:v>1.8</x:v>
      </x:c>
      <x:c r="R61" s="28" t="n">
        <x:f>(K61-N61)*IF($B61="attrition",$D61,IF($C61="attrition",$E61,'參數'!$C$13))</x:f>
        <x:v>8</x:v>
      </x:c>
      <x:c r="S61" s="28" t="n">
        <x:f>I61-L61-P61</x:f>
        <x:v>5.6</x:v>
      </x:c>
      <x:c r="T61" s="28" t="n">
        <x:f>J61-M61-Q61</x:f>
        <x:v>7.2</x:v>
      </x:c>
      <x:c r="U61" s="28" t="n">
        <x:f>K61-N61-R61</x:f>
        <x:v>32</x:v>
      </x:c>
      <x:c r="V61" s="28" t="n">
        <x:f>'參數'!$C$44</x:f>
        <x:v>0</x:v>
      </x:c>
      <x:c r="W61" s="28" t="n">
        <x:f>'參數'!$C$45</x:f>
        <x:v>0</x:v>
      </x:c>
      <x:c r="X61" s="28" t="n">
        <x:f>'參數'!$C$46</x:f>
        <x:v>0</x:v>
      </x:c>
      <x:c r="Y61" s="28" t="n">
        <x:f>V61*IF($B61="relE",$D61,IF($C61="relE",$E61,'參數'!$C$17))+L61*IF($B61="nowE",$D61,IF($C61="nowE",$E61,'參數'!$C$14))</x:f>
        <x:v>3.0000000000000004</x:v>
      </x:c>
      <x:c r="Z61" s="28" t="n">
        <x:f>W61*IF($B61="relM",$D61,IF($C61="relM",$E61,'參數'!$C$18))+M61*IF($B61="nowM",$D61,IF($C61="nowM",$E61,'參數'!$C$15))</x:f>
        <x:v>6</x:v>
      </x:c>
      <x:c r="AA61" s="28" t="n">
        <x:f>X61*IF($B61="relA",$D61,IF($C61="relA",$E61,'參數'!$C$19))+N61*IF($B61="nowA",$D61,IF($C61="nowA",$E61,'參數'!$C$16))</x:f>
        <x:v>0</x:v>
      </x:c>
      <x:c r="AB61" s="28" t="n">
        <x:f>Y61+Z61+AA61</x:f>
        <x:v>9</x:v>
      </x:c>
      <x:c r="AC61" s="28" t="n">
        <x:f>IF($B61="capacity",$D61,IF($C61="capacity",$E61,'參數'!$C$20))</x:f>
        <x:v>10</x:v>
      </x:c>
      <x:c r="AD61" s="28" t="n">
        <x:f>IF(AC61=0,0,AB61/AC61)</x:f>
        <x:v>0.9</x:v>
      </x:c>
      <x:c r="AE61" s="29" t="n">
        <x:f>MAX(0,AD61-1)*IF($B61="congestion",$D61,IF($C61="congestion",$E61,'參數'!$C$28))</x:f>
        <x:v>0</x:v>
      </x:c>
      <x:c r="AF61" s="29" t="n">
        <x:f>1-(1-(IF($B61="gmE",$D61,IF($C61="gmE",$E61,'參數'!$C$21))+IF($B61="shock",$D61,IF($C61="shock",$E61,'參數'!$C$26))))*(1+IF($B61="inflation",$D61,IF($C61="inflation",$E61,'參數'!$C$27)))-AE61</x:f>
        <x:v>0.12</x:v>
      </x:c>
      <x:c r="AG61" s="29" t="n">
        <x:f>1-(1-(IF($B61="gmM",$D61,IF($C61="gmM",$E61,'參數'!$C$22))+IF($B61="dev",$D61,IF($C61="dev",$E61,'參數'!$C$23))*IF($B61="devReal",$D61,IF($C61="devReal",$E61,'參數'!$C$24))+IF($B61="shock",$D61,IF($C61="shock",$E61,'參數'!$C$26))))*(1+IF($B61="inflation",$D61,IF($C61="inflation",$E61,'參數'!$C$27)))-AE61</x:f>
        <x:v>0.17999999999999994</x:v>
      </x:c>
      <x:c r="AH61" s="29" t="n">
        <x:f>1-(1-(IF($B61="gmA",$D61,IF($C61="gmA",$E61,'參數'!$C$25))+IF($B61="shock",$D61,IF($C61="shock",$E61,'參數'!$C$26))))*(1+IF($B61="inflation",$D61,IF($C61="inflation",$E61,'參數'!$C$27)))-AE61</x:f>
        <x:v>0.16000000000000003</x:v>
      </x:c>
      <x:c r="AI61" s="29" t="n">
        <x:f>IF(AB61=0,0,(Y61*AF61+Z61*AG61+AA61*AH61)/AB61)</x:f>
        <x:v>0.15999999999999998</x:v>
      </x:c>
      <x:c r="AJ61" s="28" t="n">
        <x:f>'參數'!$C$43</x:f>
        <x:v>1</x:v>
      </x:c>
      <x:c r="AK61" s="28" t="n">
        <x:f>MAX(0,(IF($B61="dso",$D61,IF($C61="dso",$E61,'參數'!$C$32))-(1-AI61)*IF($B61="dpo",$D61,IF($C61="dpo",$E61,'參數'!$C$33)))/365)</x:f>
        <x:v>0.1084931506849315</x:v>
      </x:c>
      <x:c r="AL61" s="28" t="n">
        <x:f>IF(AK61=0,AB61,(MAX(0,AJ61)+IF($B61="credit",$D61,IF($C61="credit",$E61,'參數'!$C$37)))/AK61)</x:f>
        <x:v>36.86868686868687</x:v>
      </x:c>
      <x:c r="AM61" s="28" t="n">
        <x:f>MIN(AB61,AC61,AL61)</x:f>
        <x:v>9</x:v>
      </x:c>
      <x:c r="AN61" s="28" t="n">
        <x:f>IF(AB61=0,0,AM61*Y61/AB61)</x:f>
        <x:v>3.0000000000000004</x:v>
      </x:c>
      <x:c r="AO61" s="28" t="n">
        <x:f>IF(AB61=0,0,AM61*Z61/AB61)</x:f>
        <x:v>6</x:v>
      </x:c>
      <x:c r="AP61" s="28" t="n">
        <x:f>IF(AB61=0,0,AM61*AA61/AB61)</x:f>
        <x:v>0</x:v>
      </x:c>
      <x:c r="AQ61" s="28" t="n">
        <x:f>V61+L61-AN61</x:f>
        <x:v>0</x:v>
      </x:c>
      <x:c r="AR61" s="28" t="n">
        <x:f>W61+M61-AO61</x:f>
        <x:v>0</x:v>
      </x:c>
      <x:c r="AS61" s="28" t="n">
        <x:f>X61+N61-AP61</x:f>
        <x:v>10</x:v>
      </x:c>
      <x:c r="AT61" s="28" t="n">
        <x:f>AQ61+AR61+AS61</x:f>
        <x:v>10</x:v>
      </x:c>
      <x:c r="AU61" s="28" t="n">
        <x:f>AN61*(1-AF61)+AO61*(1-AG61)+AP61*(1-AH61)</x:f>
        <x:v>7.5600000000000005</x:v>
      </x:c>
      <x:c r="AV61" s="28" t="n">
        <x:f>AM61-AU61</x:f>
        <x:v>1.4399999999999995</x:v>
      </x:c>
      <x:c r="AW61" s="29" t="n">
        <x:f>IF(AM61=0,0,AV61/AM61)</x:f>
        <x:v>0.15999999999999995</x:v>
      </x:c>
      <x:c r="AX61" s="28" t="n">
        <x:f>IF($B61="head",$D61,IF($C61="head",$E61,'參數'!$C$29))*IF($B61="wage",$D61,IF($C61="wage",$E61,'參數'!$C$30))</x:f>
        <x:v>0.22</x:v>
      </x:c>
      <x:c r="AY61" s="28" t="n">
        <x:f>IF($B61="opex",$D61,IF($C61="opex",$E61,'參數'!$C$31))</x:f>
        <x:v>0.23</x:v>
      </x:c>
      <x:c r="AZ61" s="28" t="n">
        <x:f>AX61+AY61</x:f>
        <x:v>0.45</x:v>
      </x:c>
      <x:c r="BA61" s="28" t="n">
        <x:f>AV61-AZ61</x:f>
        <x:v>0.9899999999999995</x:v>
      </x:c>
      <x:c r="BB61" s="28" t="n">
        <x:f>AM61*AK61</x:f>
        <x:v>0.9764383561643835</x:v>
      </x:c>
      <x:c r="BC61" s="28" t="n">
        <x:f>0</x:f>
        <x:v>0</x:v>
      </x:c>
      <x:c r="BD61" s="28" t="n">
        <x:f>MAX(0,BB61-MAX(0,AJ61))</x:f>
        <x:v>0</x:v>
      </x:c>
      <x:c r="BE61" s="28" t="n">
        <x:f>(BC61+BD61)/2</x:f>
        <x:v>0</x:v>
      </x:c>
      <x:c r="BF61" s="28" t="n">
        <x:f>BE61*IF($B61="rate",$D61,IF($C61="rate",$E61,'參數'!$C$34))</x:f>
        <x:v>0</x:v>
      </x:c>
      <x:c r="BG61" s="28" t="n">
        <x:f>IF($B61="nonop",$D61,IF($C61="nonop",$E61,'參數'!$C$36))</x:f>
        <x:v>0.02</x:v>
      </x:c>
      <x:c r="BH61" s="28" t="n">
        <x:f>BA61+BG61-BF61</x:f>
        <x:v>1.0099999999999996</x:v>
      </x:c>
      <x:c r="BI61" s="28" t="n">
        <x:f>MAX(0,BH61)*IF($B61="tax",$D61,IF($C61="tax",$E61,'參數'!$C$35))</x:f>
        <x:v>0.20199999999999993</x:v>
      </x:c>
      <x:c r="BJ61" s="28" t="n">
        <x:f>BH61-BI61</x:f>
        <x:v>0.8079999999999996</x:v>
      </x:c>
      <x:c r="BK61" s="29" t="n">
        <x:f>IF(AM61=0,0,BJ61/AM61)</x:f>
        <x:v>0.08977777777777773</x:v>
      </x:c>
      <x:c r="BL61" s="28" t="n">
        <x:f>IF(BJ61&gt;=0,BJ61*IF($B61="retain",$D61,IF($C61="retain",$E61,'參數'!$C$38)),BJ61)</x:f>
        <x:v>0.4039999999999998</x:v>
      </x:c>
      <x:c r="BM61" s="28" t="n">
        <x:f>AJ61+BL61</x:f>
        <x:v>1.404</x:v>
      </x:c>
      <x:c r="BN61" s="28" t="n">
        <x:f>MAX(0,AB61-AC61)</x:f>
        <x:v>0</x:v>
      </x:c>
      <x:c r="BO61" s="28" t="n">
        <x:f>MAX(0,MIN(AB61,AC61)-AM61)</x:f>
        <x:v>0</x:v>
      </x:c>
    </x:row>
    <x:row r="62" ht="24" customHeight="1">
      <x:c r="A62" s="2" t="str">
        <x:v>統包年度簽約轉化率高端</x:v>
      </x:c>
      <x:c r="B62" s="2" t="str">
        <x:v>winE</x:v>
      </x:c>
      <x:c r="C62" s="2" t="str"/>
      <x:c r="D62" s="11" t="n">
        <x:f>D6</x:f>
        <x:v>0.5</x:v>
      </x:c>
      <x:c r="E62" s="11" t="n">
        <x:f>0</x:f>
        <x:v>0</x:v>
      </x:c>
      <x:c r="F62" s="11" t="n">
        <x:f>'參數'!$C$47</x:f>
        <x:v>0</x:v>
      </x:c>
      <x:c r="G62" s="11" t="n">
        <x:f>'參數'!$C$48</x:f>
        <x:v>0</x:v>
      </x:c>
      <x:c r="H62" s="11" t="n">
        <x:f>'參數'!$C$49</x:f>
        <x:v>0</x:v>
      </x:c>
      <x:c r="I62" s="11" t="n">
        <x:f>F62+IF($B62="pE",$D62,IF($C62="pE",$E62,'參數'!$C$5))*IF($B62="scale",$D62,IF($C62="scale",$E62,'參數'!$C$8))</x:f>
        <x:v>10</x:v>
      </x:c>
      <x:c r="J62" s="11" t="n">
        <x:f>G62+IF($B62="pM",$D62,IF($C62="pM",$E62,'參數'!$C$6))*IF($B62="scale",$D62,IF($C62="scale",$E62,'參數'!$C$8))</x:f>
        <x:v>15</x:v>
      </x:c>
      <x:c r="K62" s="11" t="n">
        <x:f>H62+IF($B62="pA",$D62,IF($C62="pA",$E62,'參數'!$C$7))*IF($B62="scale",$D62,IF($C62="scale",$E62,'參數'!$C$8))</x:f>
        <x:v>50</x:v>
      </x:c>
      <x:c r="L62" s="11" t="n">
        <x:f>I62*IF($B62="winE",$D62,IF($C62="winE",$E62,'參數'!$C$9))</x:f>
        <x:v>5</x:v>
      </x:c>
      <x:c r="M62" s="28" t="n">
        <x:f>J62*IF($B62="winM",$D62,IF($C62="winM",$E62,'參數'!$C$10))</x:f>
        <x:v>6</x:v>
      </x:c>
      <x:c r="N62" s="28" t="n">
        <x:f>MIN(K62,IF($B62="readyA",$D62,IF($C62="readyA",$E62,'參數'!$C$11))*IF($B62="gateA",$D62,IF($C62="gateA",$E62,'參數'!$C$12)))</x:f>
        <x:v>10</x:v>
      </x:c>
      <x:c r="O62" s="28" t="n">
        <x:f>L62+M62+N62</x:f>
        <x:v>21</x:v>
      </x:c>
      <x:c r="P62" s="28" t="n">
        <x:f>(I62-L62)*IF($B62="attrition",$D62,IF($C62="attrition",$E62,'參數'!$C$13))</x:f>
        <x:v>1</x:v>
      </x:c>
      <x:c r="Q62" s="28" t="n">
        <x:f>(J62-M62)*IF($B62="attrition",$D62,IF($C62="attrition",$E62,'參數'!$C$13))</x:f>
        <x:v>1.8</x:v>
      </x:c>
      <x:c r="R62" s="28" t="n">
        <x:f>(K62-N62)*IF($B62="attrition",$D62,IF($C62="attrition",$E62,'參數'!$C$13))</x:f>
        <x:v>8</x:v>
      </x:c>
      <x:c r="S62" s="28" t="n">
        <x:f>I62-L62-P62</x:f>
        <x:v>4</x:v>
      </x:c>
      <x:c r="T62" s="28" t="n">
        <x:f>J62-M62-Q62</x:f>
        <x:v>7.2</x:v>
      </x:c>
      <x:c r="U62" s="28" t="n">
        <x:f>K62-N62-R62</x:f>
        <x:v>32</x:v>
      </x:c>
      <x:c r="V62" s="28" t="n">
        <x:f>'參數'!$C$44</x:f>
        <x:v>0</x:v>
      </x:c>
      <x:c r="W62" s="28" t="n">
        <x:f>'參數'!$C$45</x:f>
        <x:v>0</x:v>
      </x:c>
      <x:c r="X62" s="28" t="n">
        <x:f>'參數'!$C$46</x:f>
        <x:v>0</x:v>
      </x:c>
      <x:c r="Y62" s="28" t="n">
        <x:f>V62*IF($B62="relE",$D62,IF($C62="relE",$E62,'參數'!$C$17))+L62*IF($B62="nowE",$D62,IF($C62="nowE",$E62,'參數'!$C$14))</x:f>
        <x:v>5</x:v>
      </x:c>
      <x:c r="Z62" s="28" t="n">
        <x:f>W62*IF($B62="relM",$D62,IF($C62="relM",$E62,'參數'!$C$18))+M62*IF($B62="nowM",$D62,IF($C62="nowM",$E62,'參數'!$C$15))</x:f>
        <x:v>6</x:v>
      </x:c>
      <x:c r="AA62" s="28" t="n">
        <x:f>X62*IF($B62="relA",$D62,IF($C62="relA",$E62,'參數'!$C$19))+N62*IF($B62="nowA",$D62,IF($C62="nowA",$E62,'參數'!$C$16))</x:f>
        <x:v>0</x:v>
      </x:c>
      <x:c r="AB62" s="28" t="n">
        <x:f>Y62+Z62+AA62</x:f>
        <x:v>11</x:v>
      </x:c>
      <x:c r="AC62" s="28" t="n">
        <x:f>IF($B62="capacity",$D62,IF($C62="capacity",$E62,'參數'!$C$20))</x:f>
        <x:v>10</x:v>
      </x:c>
      <x:c r="AD62" s="28" t="n">
        <x:f>IF(AC62=0,0,AB62/AC62)</x:f>
        <x:v>1.1</x:v>
      </x:c>
      <x:c r="AE62" s="29" t="n">
        <x:f>MAX(0,AD62-1)*IF($B62="congestion",$D62,IF($C62="congestion",$E62,'參數'!$C$28))</x:f>
        <x:v>0.0010000000000000009</x:v>
      </x:c>
      <x:c r="AF62" s="29" t="n">
        <x:f>1-(1-(IF($B62="gmE",$D62,IF($C62="gmE",$E62,'參數'!$C$21))+IF($B62="shock",$D62,IF($C62="shock",$E62,'參數'!$C$26))))*(1+IF($B62="inflation",$D62,IF($C62="inflation",$E62,'參數'!$C$27)))-AE62</x:f>
        <x:v>0.119</x:v>
      </x:c>
      <x:c r="AG62" s="29" t="n">
        <x:f>1-(1-(IF($B62="gmM",$D62,IF($C62="gmM",$E62,'參數'!$C$22))+IF($B62="dev",$D62,IF($C62="dev",$E62,'參數'!$C$23))*IF($B62="devReal",$D62,IF($C62="devReal",$E62,'參數'!$C$24))+IF($B62="shock",$D62,IF($C62="shock",$E62,'參數'!$C$26))))*(1+IF($B62="inflation",$D62,IF($C62="inflation",$E62,'參數'!$C$27)))-AE62</x:f>
        <x:v>0.17899999999999994</x:v>
      </x:c>
      <x:c r="AH62" s="29" t="n">
        <x:f>1-(1-(IF($B62="gmA",$D62,IF($C62="gmA",$E62,'參數'!$C$25))+IF($B62="shock",$D62,IF($C62="shock",$E62,'參數'!$C$26))))*(1+IF($B62="inflation",$D62,IF($C62="inflation",$E62,'參數'!$C$27)))-AE62</x:f>
        <x:v>0.15900000000000003</x:v>
      </x:c>
      <x:c r="AI62" s="29" t="n">
        <x:f>IF(AB62=0,0,(Y62*AF62+Z62*AG62+AA62*AH62)/AB62)</x:f>
        <x:v>0.15172727272727268</x:v>
      </x:c>
      <x:c r="AJ62" s="28" t="n">
        <x:f>'參數'!$C$43</x:f>
        <x:v>1</x:v>
      </x:c>
      <x:c r="AK62" s="28" t="n">
        <x:f>MAX(0,(IF($B62="dso",$D62,IF($C62="dso",$E62,'參數'!$C$32))-(1-AI62)*IF($B62="dpo",$D62,IF($C62="dpo",$E62,'參數'!$C$33)))/365)</x:f>
        <x:v>0.1071332503113325</x:v>
      </x:c>
      <x:c r="AL62" s="28" t="n">
        <x:f>IF(AK62=0,AB62,(MAX(0,AJ62)+IF($B62="credit",$D62,IF($C62="credit",$E62,'參數'!$C$37)))/AK62)</x:f>
        <x:v>37.336681080578416</x:v>
      </x:c>
      <x:c r="AM62" s="28" t="n">
        <x:f>MIN(AB62,AC62,AL62)</x:f>
        <x:v>10</x:v>
      </x:c>
      <x:c r="AN62" s="28" t="n">
        <x:f>IF(AB62=0,0,AM62*Y62/AB62)</x:f>
        <x:v>4.545454545454546</x:v>
      </x:c>
      <x:c r="AO62" s="28" t="n">
        <x:f>IF(AB62=0,0,AM62*Z62/AB62)</x:f>
        <x:v>5.454545454545454</x:v>
      </x:c>
      <x:c r="AP62" s="28" t="n">
        <x:f>IF(AB62=0,0,AM62*AA62/AB62)</x:f>
        <x:v>0</x:v>
      </x:c>
      <x:c r="AQ62" s="28" t="n">
        <x:f>V62+L62-AN62</x:f>
        <x:v>0.45454545454545414</x:v>
      </x:c>
      <x:c r="AR62" s="28" t="n">
        <x:f>W62+M62-AO62</x:f>
        <x:v>0.5454545454545459</x:v>
      </x:c>
      <x:c r="AS62" s="28" t="n">
        <x:f>X62+N62-AP62</x:f>
        <x:v>10</x:v>
      </x:c>
      <x:c r="AT62" s="28" t="n">
        <x:f>AQ62+AR62+AS62</x:f>
        <x:v>11</x:v>
      </x:c>
      <x:c r="AU62" s="28" t="n">
        <x:f>AN62*(1-AF62)+AO62*(1-AG62)+AP62*(1-AH62)</x:f>
        <x:v>8.482727272727274</x:v>
      </x:c>
      <x:c r="AV62" s="28" t="n">
        <x:f>AM62-AU62</x:f>
        <x:v>1.5172727272727258</x:v>
      </x:c>
      <x:c r="AW62" s="29" t="n">
        <x:f>IF(AM62=0,0,AV62/AM62)</x:f>
        <x:v>0.15172727272727257</x:v>
      </x:c>
      <x:c r="AX62" s="28" t="n">
        <x:f>IF($B62="head",$D62,IF($C62="head",$E62,'參數'!$C$29))*IF($B62="wage",$D62,IF($C62="wage",$E62,'參數'!$C$30))</x:f>
        <x:v>0.22</x:v>
      </x:c>
      <x:c r="AY62" s="28" t="n">
        <x:f>IF($B62="opex",$D62,IF($C62="opex",$E62,'參數'!$C$31))</x:f>
        <x:v>0.23</x:v>
      </x:c>
      <x:c r="AZ62" s="28" t="n">
        <x:f>AX62+AY62</x:f>
        <x:v>0.45</x:v>
      </x:c>
      <x:c r="BA62" s="28" t="n">
        <x:f>AV62-AZ62</x:f>
        <x:v>1.0672727272727258</x:v>
      </x:c>
      <x:c r="BB62" s="28" t="n">
        <x:f>AM62*AK62</x:f>
        <x:v>1.071332503113325</x:v>
      </x:c>
      <x:c r="BC62" s="28" t="n">
        <x:f>0</x:f>
        <x:v>0</x:v>
      </x:c>
      <x:c r="BD62" s="28" t="n">
        <x:f>MAX(0,BB62-MAX(0,AJ62))</x:f>
        <x:v>0.07133250311332495</x:v>
      </x:c>
      <x:c r="BE62" s="28" t="n">
        <x:f>(BC62+BD62)/2</x:f>
        <x:v>0.035666251556662476</x:v>
      </x:c>
      <x:c r="BF62" s="28" t="n">
        <x:f>BE62*IF($B62="rate",$D62,IF($C62="rate",$E62,'參數'!$C$34))</x:f>
        <x:v>0.001426650062266499</x:v>
      </x:c>
      <x:c r="BG62" s="28" t="n">
        <x:f>IF($B62="nonop",$D62,IF($C62="nonop",$E62,'參數'!$C$36))</x:f>
        <x:v>0.02</x:v>
      </x:c>
      <x:c r="BH62" s="28" t="n">
        <x:f>BA62+BG62-BF62</x:f>
        <x:v>1.0858460772104594</x:v>
      </x:c>
      <x:c r="BI62" s="28" t="n">
        <x:f>MAX(0,BH62)*IF($B62="tax",$D62,IF($C62="tax",$E62,'參數'!$C$35))</x:f>
        <x:v>0.2171692154420919</x:v>
      </x:c>
      <x:c r="BJ62" s="28" t="n">
        <x:f>BH62-BI62</x:f>
        <x:v>0.8686768617683676</x:v>
      </x:c>
      <x:c r="BK62" s="29" t="n">
        <x:f>IF(AM62=0,0,BJ62/AM62)</x:f>
        <x:v>0.08686768617683675</x:v>
      </x:c>
      <x:c r="BL62" s="28" t="n">
        <x:f>IF(BJ62&gt;=0,BJ62*IF($B62="retain",$D62,IF($C62="retain",$E62,'參數'!$C$38)),BJ62)</x:f>
        <x:v>0.4343384308841838</x:v>
      </x:c>
      <x:c r="BM62" s="28" t="n">
        <x:f>AJ62+BL62</x:f>
        <x:v>1.4343384308841838</x:v>
      </x:c>
      <x:c r="BN62" s="28" t="n">
        <x:f>MAX(0,AB62-AC62)</x:f>
        <x:v>1</x:v>
      </x:c>
      <x:c r="BO62" s="28" t="n">
        <x:f>MAX(0,MIN(AB62,AC62)-AM62)</x:f>
        <x:v>0</x:v>
      </x:c>
    </x:row>
    <x:row r="63" ht="24" customHeight="1">
      <x:c r="A63" s="2" t="str">
        <x:v>資管年度立案轉化率低端</x:v>
      </x:c>
      <x:c r="B63" s="2" t="str">
        <x:v>winM</x:v>
      </x:c>
      <x:c r="C63" s="2" t="str"/>
      <x:c r="D63" s="11" t="n">
        <x:f>C7</x:f>
        <x:v>0.30000000000000004</x:v>
      </x:c>
      <x:c r="E63" s="11" t="n">
        <x:f>0</x:f>
        <x:v>0</x:v>
      </x:c>
      <x:c r="F63" s="11" t="n">
        <x:f>'參數'!$C$47</x:f>
        <x:v>0</x:v>
      </x:c>
      <x:c r="G63" s="11" t="n">
        <x:f>'參數'!$C$48</x:f>
        <x:v>0</x:v>
      </x:c>
      <x:c r="H63" s="11" t="n">
        <x:f>'參數'!$C$49</x:f>
        <x:v>0</x:v>
      </x:c>
      <x:c r="I63" s="11" t="n">
        <x:f>F63+IF($B63="pE",$D63,IF($C63="pE",$E63,'參數'!$C$5))*IF($B63="scale",$D63,IF($C63="scale",$E63,'參數'!$C$8))</x:f>
        <x:v>10</x:v>
      </x:c>
      <x:c r="J63" s="11" t="n">
        <x:f>G63+IF($B63="pM",$D63,IF($C63="pM",$E63,'參數'!$C$6))*IF($B63="scale",$D63,IF($C63="scale",$E63,'參數'!$C$8))</x:f>
        <x:v>15</x:v>
      </x:c>
      <x:c r="K63" s="11" t="n">
        <x:f>H63+IF($B63="pA",$D63,IF($C63="pA",$E63,'參數'!$C$7))*IF($B63="scale",$D63,IF($C63="scale",$E63,'參數'!$C$8))</x:f>
        <x:v>50</x:v>
      </x:c>
      <x:c r="L63" s="11" t="n">
        <x:f>I63*IF($B63="winE",$D63,IF($C63="winE",$E63,'參數'!$C$9))</x:f>
        <x:v>4</x:v>
      </x:c>
      <x:c r="M63" s="28" t="n">
        <x:f>J63*IF($B63="winM",$D63,IF($C63="winM",$E63,'參數'!$C$10))</x:f>
        <x:v>4.500000000000001</x:v>
      </x:c>
      <x:c r="N63" s="28" t="n">
        <x:f>MIN(K63,IF($B63="readyA",$D63,IF($C63="readyA",$E63,'參數'!$C$11))*IF($B63="gateA",$D63,IF($C63="gateA",$E63,'參數'!$C$12)))</x:f>
        <x:v>10</x:v>
      </x:c>
      <x:c r="O63" s="28" t="n">
        <x:f>L63+M63+N63</x:f>
        <x:v>18.5</x:v>
      </x:c>
      <x:c r="P63" s="28" t="n">
        <x:f>(I63-L63)*IF($B63="attrition",$D63,IF($C63="attrition",$E63,'參數'!$C$13))</x:f>
        <x:v>1.2000000000000002</x:v>
      </x:c>
      <x:c r="Q63" s="28" t="n">
        <x:f>(J63-M63)*IF($B63="attrition",$D63,IF($C63="attrition",$E63,'參數'!$C$13))</x:f>
        <x:v>2.1</x:v>
      </x:c>
      <x:c r="R63" s="28" t="n">
        <x:f>(K63-N63)*IF($B63="attrition",$D63,IF($C63="attrition",$E63,'參數'!$C$13))</x:f>
        <x:v>8</x:v>
      </x:c>
      <x:c r="S63" s="28" t="n">
        <x:f>I63-L63-P63</x:f>
        <x:v>4.8</x:v>
      </x:c>
      <x:c r="T63" s="28" t="n">
        <x:f>J63-M63-Q63</x:f>
        <x:v>8.4</x:v>
      </x:c>
      <x:c r="U63" s="28" t="n">
        <x:f>K63-N63-R63</x:f>
        <x:v>32</x:v>
      </x:c>
      <x:c r="V63" s="28" t="n">
        <x:f>'參數'!$C$44</x:f>
        <x:v>0</x:v>
      </x:c>
      <x:c r="W63" s="28" t="n">
        <x:f>'參數'!$C$45</x:f>
        <x:v>0</x:v>
      </x:c>
      <x:c r="X63" s="28" t="n">
        <x:f>'參數'!$C$46</x:f>
        <x:v>0</x:v>
      </x:c>
      <x:c r="Y63" s="28" t="n">
        <x:f>V63*IF($B63="relE",$D63,IF($C63="relE",$E63,'參數'!$C$17))+L63*IF($B63="nowE",$D63,IF($C63="nowE",$E63,'參數'!$C$14))</x:f>
        <x:v>4</x:v>
      </x:c>
      <x:c r="Z63" s="28" t="n">
        <x:f>W63*IF($B63="relM",$D63,IF($C63="relM",$E63,'參數'!$C$18))+M63*IF($B63="nowM",$D63,IF($C63="nowM",$E63,'參數'!$C$15))</x:f>
        <x:v>4.500000000000001</x:v>
      </x:c>
      <x:c r="AA63" s="28" t="n">
        <x:f>X63*IF($B63="relA",$D63,IF($C63="relA",$E63,'參數'!$C$19))+N63*IF($B63="nowA",$D63,IF($C63="nowA",$E63,'參數'!$C$16))</x:f>
        <x:v>0</x:v>
      </x:c>
      <x:c r="AB63" s="28" t="n">
        <x:f>Y63+Z63+AA63</x:f>
        <x:v>8.5</x:v>
      </x:c>
      <x:c r="AC63" s="28" t="n">
        <x:f>IF($B63="capacity",$D63,IF($C63="capacity",$E63,'參數'!$C$20))</x:f>
        <x:v>10</x:v>
      </x:c>
      <x:c r="AD63" s="28" t="n">
        <x:f>IF(AC63=0,0,AB63/AC63)</x:f>
        <x:v>0.85</x:v>
      </x:c>
      <x:c r="AE63" s="29" t="n">
        <x:f>MAX(0,AD63-1)*IF($B63="congestion",$D63,IF($C63="congestion",$E63,'參數'!$C$28))</x:f>
        <x:v>0</x:v>
      </x:c>
      <x:c r="AF63" s="29" t="n">
        <x:f>1-(1-(IF($B63="gmE",$D63,IF($C63="gmE",$E63,'參數'!$C$21))+IF($B63="shock",$D63,IF($C63="shock",$E63,'參數'!$C$26))))*(1+IF($B63="inflation",$D63,IF($C63="inflation",$E63,'參數'!$C$27)))-AE63</x:f>
        <x:v>0.12</x:v>
      </x:c>
      <x:c r="AG63" s="29" t="n">
        <x:f>1-(1-(IF($B63="gmM",$D63,IF($C63="gmM",$E63,'參數'!$C$22))+IF($B63="dev",$D63,IF($C63="dev",$E63,'參數'!$C$23))*IF($B63="devReal",$D63,IF($C63="devReal",$E63,'參數'!$C$24))+IF($B63="shock",$D63,IF($C63="shock",$E63,'參數'!$C$26))))*(1+IF($B63="inflation",$D63,IF($C63="inflation",$E63,'參數'!$C$27)))-AE63</x:f>
        <x:v>0.17999999999999994</x:v>
      </x:c>
      <x:c r="AH63" s="29" t="n">
        <x:f>1-(1-(IF($B63="gmA",$D63,IF($C63="gmA",$E63,'參數'!$C$25))+IF($B63="shock",$D63,IF($C63="shock",$E63,'參數'!$C$26))))*(1+IF($B63="inflation",$D63,IF($C63="inflation",$E63,'參數'!$C$27)))-AE63</x:f>
        <x:v>0.16000000000000003</x:v>
      </x:c>
      <x:c r="AI63" s="29" t="n">
        <x:f>IF(AB63=0,0,(Y63*AF63+Z63*AG63+AA63*AH63)/AB63)</x:f>
        <x:v>0.1517647058823529</x:v>
      </x:c>
      <x:c r="AJ63" s="28" t="n">
        <x:f>'參數'!$C$43</x:f>
        <x:v>1</x:v>
      </x:c>
      <x:c r="AK63" s="28" t="n">
        <x:f>MAX(0,(IF($B63="dso",$D63,IF($C63="dso",$E63,'參數'!$C$32))-(1-AI63)*IF($B63="dpo",$D63,IF($C63="dpo",$E63,'參數'!$C$33)))/365)</x:f>
        <x:v>0.10713940370668815</x:v>
      </x:c>
      <x:c r="AL63" s="28" t="n">
        <x:f>IF(AK63=0,AB63,(MAX(0,AJ63)+IF($B63="credit",$D63,IF($C63="credit",$E63,'參數'!$C$37)))/AK63)</x:f>
        <x:v>37.33453670276775</x:v>
      </x:c>
      <x:c r="AM63" s="28" t="n">
        <x:f>MIN(AB63,AC63,AL63)</x:f>
        <x:v>8.5</x:v>
      </x:c>
      <x:c r="AN63" s="28" t="n">
        <x:f>IF(AB63=0,0,AM63*Y63/AB63)</x:f>
        <x:v>4</x:v>
      </x:c>
      <x:c r="AO63" s="28" t="n">
        <x:f>IF(AB63=0,0,AM63*Z63/AB63)</x:f>
        <x:v>4.500000000000001</x:v>
      </x:c>
      <x:c r="AP63" s="28" t="n">
        <x:f>IF(AB63=0,0,AM63*AA63/AB63)</x:f>
        <x:v>0</x:v>
      </x:c>
      <x:c r="AQ63" s="28" t="n">
        <x:f>V63+L63-AN63</x:f>
        <x:v>0</x:v>
      </x:c>
      <x:c r="AR63" s="28" t="n">
        <x:f>W63+M63-AO63</x:f>
        <x:v>0</x:v>
      </x:c>
      <x:c r="AS63" s="28" t="n">
        <x:f>X63+N63-AP63</x:f>
        <x:v>10</x:v>
      </x:c>
      <x:c r="AT63" s="28" t="n">
        <x:f>AQ63+AR63+AS63</x:f>
        <x:v>10</x:v>
      </x:c>
      <x:c r="AU63" s="28" t="n">
        <x:f>AN63*(1-AF63)+AO63*(1-AG63)+AP63*(1-AH63)</x:f>
        <x:v>7.210000000000001</x:v>
      </x:c>
      <x:c r="AV63" s="28" t="n">
        <x:f>AM63-AU63</x:f>
        <x:v>1.2899999999999991</x:v>
      </x:c>
      <x:c r="AW63" s="29" t="n">
        <x:f>IF(AM63=0,0,AV63/AM63)</x:f>
        <x:v>0.15176470588235283</x:v>
      </x:c>
      <x:c r="AX63" s="28" t="n">
        <x:f>IF($B63="head",$D63,IF($C63="head",$E63,'參數'!$C$29))*IF($B63="wage",$D63,IF($C63="wage",$E63,'參數'!$C$30))</x:f>
        <x:v>0.22</x:v>
      </x:c>
      <x:c r="AY63" s="28" t="n">
        <x:f>IF($B63="opex",$D63,IF($C63="opex",$E63,'參數'!$C$31))</x:f>
        <x:v>0.23</x:v>
      </x:c>
      <x:c r="AZ63" s="28" t="n">
        <x:f>AX63+AY63</x:f>
        <x:v>0.45</x:v>
      </x:c>
      <x:c r="BA63" s="28" t="n">
        <x:f>AV63-AZ63</x:f>
        <x:v>0.8399999999999992</x:v>
      </x:c>
      <x:c r="BB63" s="28" t="n">
        <x:f>AM63*AK63</x:f>
        <x:v>0.9106849315068493</x:v>
      </x:c>
      <x:c r="BC63" s="28" t="n">
        <x:f>0</x:f>
        <x:v>0</x:v>
      </x:c>
      <x:c r="BD63" s="28" t="n">
        <x:f>MAX(0,BB63-MAX(0,AJ63))</x:f>
        <x:v>0</x:v>
      </x:c>
      <x:c r="BE63" s="28" t="n">
        <x:f>(BC63+BD63)/2</x:f>
        <x:v>0</x:v>
      </x:c>
      <x:c r="BF63" s="28" t="n">
        <x:f>BE63*IF($B63="rate",$D63,IF($C63="rate",$E63,'參數'!$C$34))</x:f>
        <x:v>0</x:v>
      </x:c>
      <x:c r="BG63" s="28" t="n">
        <x:f>IF($B63="nonop",$D63,IF($C63="nonop",$E63,'參數'!$C$36))</x:f>
        <x:v>0.02</x:v>
      </x:c>
      <x:c r="BH63" s="28" t="n">
        <x:f>BA63+BG63-BF63</x:f>
        <x:v>0.8599999999999992</x:v>
      </x:c>
      <x:c r="BI63" s="28" t="n">
        <x:f>MAX(0,BH63)*IF($B63="tax",$D63,IF($C63="tax",$E63,'參數'!$C$35))</x:f>
        <x:v>0.17199999999999985</x:v>
      </x:c>
      <x:c r="BJ63" s="28" t="n">
        <x:f>BH63-BI63</x:f>
        <x:v>0.6879999999999994</x:v>
      </x:c>
      <x:c r="BK63" s="29" t="n">
        <x:f>IF(AM63=0,0,BJ63/AM63)</x:f>
        <x:v>0.08094117647058817</x:v>
      </x:c>
      <x:c r="BL63" s="28" t="n">
        <x:f>IF(BJ63&gt;=0,BJ63*IF($B63="retain",$D63,IF($C63="retain",$E63,'參數'!$C$38)),BJ63)</x:f>
        <x:v>0.3439999999999997</x:v>
      </x:c>
      <x:c r="BM63" s="28" t="n">
        <x:f>AJ63+BL63</x:f>
        <x:v>1.3439999999999996</x:v>
      </x:c>
      <x:c r="BN63" s="28" t="n">
        <x:f>MAX(0,AB63-AC63)</x:f>
        <x:v>0</x:v>
      </x:c>
      <x:c r="BO63" s="28" t="n">
        <x:f>MAX(0,MIN(AB63,AC63)-AM63)</x:f>
        <x:v>0</x:v>
      </x:c>
    </x:row>
    <x:row r="64" ht="24" customHeight="1">
      <x:c r="A64" s="2" t="str">
        <x:v>資管年度立案轉化率高端</x:v>
      </x:c>
      <x:c r="B64" s="2" t="str">
        <x:v>winM</x:v>
      </x:c>
      <x:c r="C64" s="2" t="str"/>
      <x:c r="D64" s="11" t="n">
        <x:f>D7</x:f>
        <x:v>0.5</x:v>
      </x:c>
      <x:c r="E64" s="11" t="n">
        <x:f>0</x:f>
        <x:v>0</x:v>
      </x:c>
      <x:c r="F64" s="11" t="n">
        <x:f>'參數'!$C$47</x:f>
        <x:v>0</x:v>
      </x:c>
      <x:c r="G64" s="11" t="n">
        <x:f>'參數'!$C$48</x:f>
        <x:v>0</x:v>
      </x:c>
      <x:c r="H64" s="11" t="n">
        <x:f>'參數'!$C$49</x:f>
        <x:v>0</x:v>
      </x:c>
      <x:c r="I64" s="11" t="n">
        <x:f>F64+IF($B64="pE",$D64,IF($C64="pE",$E64,'參數'!$C$5))*IF($B64="scale",$D64,IF($C64="scale",$E64,'參數'!$C$8))</x:f>
        <x:v>10</x:v>
      </x:c>
      <x:c r="J64" s="11" t="n">
        <x:f>G64+IF($B64="pM",$D64,IF($C64="pM",$E64,'參數'!$C$6))*IF($B64="scale",$D64,IF($C64="scale",$E64,'參數'!$C$8))</x:f>
        <x:v>15</x:v>
      </x:c>
      <x:c r="K64" s="11" t="n">
        <x:f>H64+IF($B64="pA",$D64,IF($C64="pA",$E64,'參數'!$C$7))*IF($B64="scale",$D64,IF($C64="scale",$E64,'參數'!$C$8))</x:f>
        <x:v>50</x:v>
      </x:c>
      <x:c r="L64" s="11" t="n">
        <x:f>I64*IF($B64="winE",$D64,IF($C64="winE",$E64,'參數'!$C$9))</x:f>
        <x:v>4</x:v>
      </x:c>
      <x:c r="M64" s="28" t="n">
        <x:f>J64*IF($B64="winM",$D64,IF($C64="winM",$E64,'參數'!$C$10))</x:f>
        <x:v>7.5</x:v>
      </x:c>
      <x:c r="N64" s="28" t="n">
        <x:f>MIN(K64,IF($B64="readyA",$D64,IF($C64="readyA",$E64,'參數'!$C$11))*IF($B64="gateA",$D64,IF($C64="gateA",$E64,'參數'!$C$12)))</x:f>
        <x:v>10</x:v>
      </x:c>
      <x:c r="O64" s="28" t="n">
        <x:f>L64+M64+N64</x:f>
        <x:v>21.5</x:v>
      </x:c>
      <x:c r="P64" s="28" t="n">
        <x:f>(I64-L64)*IF($B64="attrition",$D64,IF($C64="attrition",$E64,'參數'!$C$13))</x:f>
        <x:v>1.2000000000000002</x:v>
      </x:c>
      <x:c r="Q64" s="28" t="n">
        <x:f>(J64-M64)*IF($B64="attrition",$D64,IF($C64="attrition",$E64,'參數'!$C$13))</x:f>
        <x:v>1.5</x:v>
      </x:c>
      <x:c r="R64" s="28" t="n">
        <x:f>(K64-N64)*IF($B64="attrition",$D64,IF($C64="attrition",$E64,'參數'!$C$13))</x:f>
        <x:v>8</x:v>
      </x:c>
      <x:c r="S64" s="28" t="n">
        <x:f>I64-L64-P64</x:f>
        <x:v>4.8</x:v>
      </x:c>
      <x:c r="T64" s="28" t="n">
        <x:f>J64-M64-Q64</x:f>
        <x:v>6</x:v>
      </x:c>
      <x:c r="U64" s="28" t="n">
        <x:f>K64-N64-R64</x:f>
        <x:v>32</x:v>
      </x:c>
      <x:c r="V64" s="28" t="n">
        <x:f>'參數'!$C$44</x:f>
        <x:v>0</x:v>
      </x:c>
      <x:c r="W64" s="28" t="n">
        <x:f>'參數'!$C$45</x:f>
        <x:v>0</x:v>
      </x:c>
      <x:c r="X64" s="28" t="n">
        <x:f>'參數'!$C$46</x:f>
        <x:v>0</x:v>
      </x:c>
      <x:c r="Y64" s="28" t="n">
        <x:f>V64*IF($B64="relE",$D64,IF($C64="relE",$E64,'參數'!$C$17))+L64*IF($B64="nowE",$D64,IF($C64="nowE",$E64,'參數'!$C$14))</x:f>
        <x:v>4</x:v>
      </x:c>
      <x:c r="Z64" s="28" t="n">
        <x:f>W64*IF($B64="relM",$D64,IF($C64="relM",$E64,'參數'!$C$18))+M64*IF($B64="nowM",$D64,IF($C64="nowM",$E64,'參數'!$C$15))</x:f>
        <x:v>7.5</x:v>
      </x:c>
      <x:c r="AA64" s="28" t="n">
        <x:f>X64*IF($B64="relA",$D64,IF($C64="relA",$E64,'參數'!$C$19))+N64*IF($B64="nowA",$D64,IF($C64="nowA",$E64,'參數'!$C$16))</x:f>
        <x:v>0</x:v>
      </x:c>
      <x:c r="AB64" s="28" t="n">
        <x:f>Y64+Z64+AA64</x:f>
        <x:v>11.5</x:v>
      </x:c>
      <x:c r="AC64" s="28" t="n">
        <x:f>IF($B64="capacity",$D64,IF($C64="capacity",$E64,'參數'!$C$20))</x:f>
        <x:v>10</x:v>
      </x:c>
      <x:c r="AD64" s="28" t="n">
        <x:f>IF(AC64=0,0,AB64/AC64)</x:f>
        <x:v>1.15</x:v>
      </x:c>
      <x:c r="AE64" s="29" t="n">
        <x:f>MAX(0,AD64-1)*IF($B64="congestion",$D64,IF($C64="congestion",$E64,'參數'!$C$28))</x:f>
        <x:v>0.0014999999999999992</x:v>
      </x:c>
      <x:c r="AF64" s="29" t="n">
        <x:f>1-(1-(IF($B64="gmE",$D64,IF($C64="gmE",$E64,'參數'!$C$21))+IF($B64="shock",$D64,IF($C64="shock",$E64,'參數'!$C$26))))*(1+IF($B64="inflation",$D64,IF($C64="inflation",$E64,'參數'!$C$27)))-AE64</x:f>
        <x:v>0.1185</x:v>
      </x:c>
      <x:c r="AG64" s="29" t="n">
        <x:f>1-(1-(IF($B64="gmM",$D64,IF($C64="gmM",$E64,'參數'!$C$22))+IF($B64="dev",$D64,IF($C64="dev",$E64,'參數'!$C$23))*IF($B64="devReal",$D64,IF($C64="devReal",$E64,'參數'!$C$24))+IF($B64="shock",$D64,IF($C64="shock",$E64,'參數'!$C$26))))*(1+IF($B64="inflation",$D64,IF($C64="inflation",$E64,'參數'!$C$27)))-AE64</x:f>
        <x:v>0.17849999999999994</x:v>
      </x:c>
      <x:c r="AH64" s="29" t="n">
        <x:f>1-(1-(IF($B64="gmA",$D64,IF($C64="gmA",$E64,'參數'!$C$25))+IF($B64="shock",$D64,IF($C64="shock",$E64,'參數'!$C$26))))*(1+IF($B64="inflation",$D64,IF($C64="inflation",$E64,'參數'!$C$27)))-AE64</x:f>
        <x:v>0.15850000000000003</x:v>
      </x:c>
      <x:c r="AI64" s="29" t="n">
        <x:f>IF(AB64=0,0,(Y64*AF64+Z64*AG64+AA64*AH64)/AB64)</x:f>
        <x:v>0.15763043478260866</x:v>
      </x:c>
      <x:c r="AJ64" s="28" t="n">
        <x:f>'參數'!$C$43</x:f>
        <x:v>1</x:v>
      </x:c>
      <x:c r="AK64" s="28" t="n">
        <x:f>MAX(0,(IF($B64="dso",$D64,IF($C64="dso",$E64,'參數'!$C$32))-(1-AI64)*IF($B64="dpo",$D64,IF($C64="dpo",$E64,'參數'!$C$33)))/365)</x:f>
        <x:v>0.10810363311494936</x:v>
      </x:c>
      <x:c r="AL64" s="28" t="n">
        <x:f>IF(AK64=0,AB64,(MAX(0,AJ64)+IF($B64="credit",$D64,IF($C64="credit",$E64,'參數'!$C$37)))/AK64)</x:f>
        <x:v>37.00153162980838</x:v>
      </x:c>
      <x:c r="AM64" s="28" t="n">
        <x:f>MIN(AB64,AC64,AL64)</x:f>
        <x:v>10</x:v>
      </x:c>
      <x:c r="AN64" s="28" t="n">
        <x:f>IF(AB64=0,0,AM64*Y64/AB64)</x:f>
        <x:v>3.4782608695652173</x:v>
      </x:c>
      <x:c r="AO64" s="28" t="n">
        <x:f>IF(AB64=0,0,AM64*Z64/AB64)</x:f>
        <x:v>6.521739130434782</x:v>
      </x:c>
      <x:c r="AP64" s="28" t="n">
        <x:f>IF(AB64=0,0,AM64*AA64/AB64)</x:f>
        <x:v>0</x:v>
      </x:c>
      <x:c r="AQ64" s="28" t="n">
        <x:f>V64+L64-AN64</x:f>
        <x:v>0.5217391304347827</x:v>
      </x:c>
      <x:c r="AR64" s="28" t="n">
        <x:f>W64+M64-AO64</x:f>
        <x:v>0.9782608695652177</x:v>
      </x:c>
      <x:c r="AS64" s="28" t="n">
        <x:f>X64+N64-AP64</x:f>
        <x:v>10</x:v>
      </x:c>
      <x:c r="AT64" s="28" t="n">
        <x:f>AQ64+AR64+AS64</x:f>
        <x:v>11.5</x:v>
      </x:c>
      <x:c r="AU64" s="28" t="n">
        <x:f>AN64*(1-AF64)+AO64*(1-AG64)+AP64*(1-AH64)</x:f>
        <x:v>8.423695652173913</x:v>
      </x:c>
      <x:c r="AV64" s="28" t="n">
        <x:f>AM64-AU64</x:f>
        <x:v>1.5763043478260865</x:v>
      </x:c>
      <x:c r="AW64" s="29" t="n">
        <x:f>IF(AM64=0,0,AV64/AM64)</x:f>
        <x:v>0.15763043478260866</x:v>
      </x:c>
      <x:c r="AX64" s="28" t="n">
        <x:f>IF($B64="head",$D64,IF($C64="head",$E64,'參數'!$C$29))*IF($B64="wage",$D64,IF($C64="wage",$E64,'參數'!$C$30))</x:f>
        <x:v>0.22</x:v>
      </x:c>
      <x:c r="AY64" s="28" t="n">
        <x:f>IF($B64="opex",$D64,IF($C64="opex",$E64,'參數'!$C$31))</x:f>
        <x:v>0.23</x:v>
      </x:c>
      <x:c r="AZ64" s="28" t="n">
        <x:f>AX64+AY64</x:f>
        <x:v>0.45</x:v>
      </x:c>
      <x:c r="BA64" s="28" t="n">
        <x:f>AV64-AZ64</x:f>
        <x:v>1.1263043478260866</x:v>
      </x:c>
      <x:c r="BB64" s="28" t="n">
        <x:f>AM64*AK64</x:f>
        <x:v>1.0810363311494937</x:v>
      </x:c>
      <x:c r="BC64" s="28" t="n">
        <x:f>0</x:f>
        <x:v>0</x:v>
      </x:c>
      <x:c r="BD64" s="28" t="n">
        <x:f>MAX(0,BB64-MAX(0,AJ64))</x:f>
        <x:v>0.08103633114949371</x:v>
      </x:c>
      <x:c r="BE64" s="28" t="n">
        <x:f>(BC64+BD64)/2</x:f>
        <x:v>0.040518165574746856</x:v>
      </x:c>
      <x:c r="BF64" s="28" t="n">
        <x:f>BE64*IF($B64="rate",$D64,IF($C64="rate",$E64,'參數'!$C$34))</x:f>
        <x:v>0.0016207266229898744</x:v>
      </x:c>
      <x:c r="BG64" s="28" t="n">
        <x:f>IF($B64="nonop",$D64,IF($C64="nonop",$E64,'參數'!$C$36))</x:f>
        <x:v>0.02</x:v>
      </x:c>
      <x:c r="BH64" s="28" t="n">
        <x:f>BA64+BG64-BF64</x:f>
        <x:v>1.1446836212030966</x:v>
      </x:c>
      <x:c r="BI64" s="28" t="n">
        <x:f>MAX(0,BH64)*IF($B64="tax",$D64,IF($C64="tax",$E64,'參數'!$C$35))</x:f>
        <x:v>0.22893672424061934</x:v>
      </x:c>
      <x:c r="BJ64" s="28" t="n">
        <x:f>BH64-BI64</x:f>
        <x:v>0.9157468969624774</x:v>
      </x:c>
      <x:c r="BK64" s="29" t="n">
        <x:f>IF(AM64=0,0,BJ64/AM64)</x:f>
        <x:v>0.09157468969624774</x:v>
      </x:c>
      <x:c r="BL64" s="28" t="n">
        <x:f>IF(BJ64&gt;=0,BJ64*IF($B64="retain",$D64,IF($C64="retain",$E64,'參數'!$C$38)),BJ64)</x:f>
        <x:v>0.4578734484812387</x:v>
      </x:c>
      <x:c r="BM64" s="28" t="n">
        <x:f>AJ64+BL64</x:f>
        <x:v>1.4578734484812386</x:v>
      </x:c>
      <x:c r="BN64" s="28" t="n">
        <x:f>MAX(0,AB64-AC64)</x:f>
        <x:v>1.5</x:v>
      </x:c>
      <x:c r="BO64" s="28" t="n">
        <x:f>MAX(0,MIN(AB64,AC64)-AM64)</x:f>
        <x:v>0</x:v>
      </x:c>
    </x:row>
    <x:row r="65" ht="24" customHeight="1">
      <x:c r="A65" s="2" t="str">
        <x:v>AIDC可簽約金額保留率低端</x:v>
      </x:c>
      <x:c r="B65" s="2" t="str">
        <x:v>gateA</x:v>
      </x:c>
      <x:c r="C65" s="2" t="str"/>
      <x:c r="D65" s="11" t="n">
        <x:f>C8</x:f>
        <x:v>0</x:v>
      </x:c>
      <x:c r="E65" s="11" t="n">
        <x:f>0</x:f>
        <x:v>0</x:v>
      </x:c>
      <x:c r="F65" s="11" t="n">
        <x:f>'參數'!$C$47</x:f>
        <x:v>0</x:v>
      </x:c>
      <x:c r="G65" s="11" t="n">
        <x:f>'參數'!$C$48</x:f>
        <x:v>0</x:v>
      </x:c>
      <x:c r="H65" s="11" t="n">
        <x:f>'參數'!$C$49</x:f>
        <x:v>0</x:v>
      </x:c>
      <x:c r="I65" s="11" t="n">
        <x:f>F65+IF($B65="pE",$D65,IF($C65="pE",$E65,'參數'!$C$5))*IF($B65="scale",$D65,IF($C65="scale",$E65,'參數'!$C$8))</x:f>
        <x:v>10</x:v>
      </x:c>
      <x:c r="J65" s="11" t="n">
        <x:f>G65+IF($B65="pM",$D65,IF($C65="pM",$E65,'參數'!$C$6))*IF($B65="scale",$D65,IF($C65="scale",$E65,'參數'!$C$8))</x:f>
        <x:v>15</x:v>
      </x:c>
      <x:c r="K65" s="11" t="n">
        <x:f>H65+IF($B65="pA",$D65,IF($C65="pA",$E65,'參數'!$C$7))*IF($B65="scale",$D65,IF($C65="scale",$E65,'參數'!$C$8))</x:f>
        <x:v>50</x:v>
      </x:c>
      <x:c r="L65" s="11" t="n">
        <x:f>I65*IF($B65="winE",$D65,IF($C65="winE",$E65,'參數'!$C$9))</x:f>
        <x:v>4</x:v>
      </x:c>
      <x:c r="M65" s="28" t="n">
        <x:f>J65*IF($B65="winM",$D65,IF($C65="winM",$E65,'參數'!$C$10))</x:f>
        <x:v>6</x:v>
      </x:c>
      <x:c r="N65" s="28" t="n">
        <x:f>MIN(K65,IF($B65="readyA",$D65,IF($C65="readyA",$E65,'參數'!$C$11))*IF($B65="gateA",$D65,IF($C65="gateA",$E65,'參數'!$C$12)))</x:f>
        <x:v>0</x:v>
      </x:c>
      <x:c r="O65" s="28" t="n">
        <x:f>L65+M65+N65</x:f>
        <x:v>10</x:v>
      </x:c>
      <x:c r="P65" s="28" t="n">
        <x:f>(I65-L65)*IF($B65="attrition",$D65,IF($C65="attrition",$E65,'參數'!$C$13))</x:f>
        <x:v>1.2000000000000002</x:v>
      </x:c>
      <x:c r="Q65" s="28" t="n">
        <x:f>(J65-M65)*IF($B65="attrition",$D65,IF($C65="attrition",$E65,'參數'!$C$13))</x:f>
        <x:v>1.8</x:v>
      </x:c>
      <x:c r="R65" s="28" t="n">
        <x:f>(K65-N65)*IF($B65="attrition",$D65,IF($C65="attrition",$E65,'參數'!$C$13))</x:f>
        <x:v>10</x:v>
      </x:c>
      <x:c r="S65" s="28" t="n">
        <x:f>I65-L65-P65</x:f>
        <x:v>4.8</x:v>
      </x:c>
      <x:c r="T65" s="28" t="n">
        <x:f>J65-M65-Q65</x:f>
        <x:v>7.2</x:v>
      </x:c>
      <x:c r="U65" s="28" t="n">
        <x:f>K65-N65-R65</x:f>
        <x:v>40</x:v>
      </x:c>
      <x:c r="V65" s="28" t="n">
        <x:f>'參數'!$C$44</x:f>
        <x:v>0</x:v>
      </x:c>
      <x:c r="W65" s="28" t="n">
        <x:f>'參數'!$C$45</x:f>
        <x:v>0</x:v>
      </x:c>
      <x:c r="X65" s="28" t="n">
        <x:f>'參數'!$C$46</x:f>
        <x:v>0</x:v>
      </x:c>
      <x:c r="Y65" s="28" t="n">
        <x:f>V65*IF($B65="relE",$D65,IF($C65="relE",$E65,'參數'!$C$17))+L65*IF($B65="nowE",$D65,IF($C65="nowE",$E65,'參數'!$C$14))</x:f>
        <x:v>4</x:v>
      </x:c>
      <x:c r="Z65" s="28" t="n">
        <x:f>W65*IF($B65="relM",$D65,IF($C65="relM",$E65,'參數'!$C$18))+M65*IF($B65="nowM",$D65,IF($C65="nowM",$E65,'參數'!$C$15))</x:f>
        <x:v>6</x:v>
      </x:c>
      <x:c r="AA65" s="28" t="n">
        <x:f>X65*IF($B65="relA",$D65,IF($C65="relA",$E65,'參數'!$C$19))+N65*IF($B65="nowA",$D65,IF($C65="nowA",$E65,'參數'!$C$16))</x:f>
        <x:v>0</x:v>
      </x:c>
      <x:c r="AB65" s="28" t="n">
        <x:f>Y65+Z65+AA65</x:f>
        <x:v>10</x:v>
      </x:c>
      <x:c r="AC65" s="28" t="n">
        <x:f>IF($B65="capacity",$D65,IF($C65="capacity",$E65,'參數'!$C$20))</x:f>
        <x:v>10</x:v>
      </x:c>
      <x:c r="AD65" s="28" t="n">
        <x:f>IF(AC65=0,0,AB65/AC65)</x:f>
        <x:v>1</x:v>
      </x:c>
      <x:c r="AE65" s="29" t="n">
        <x:f>MAX(0,AD65-1)*IF($B65="congestion",$D65,IF($C65="congestion",$E65,'參數'!$C$28))</x:f>
        <x:v>0</x:v>
      </x:c>
      <x:c r="AF65" s="29" t="n">
        <x:f>1-(1-(IF($B65="gmE",$D65,IF($C65="gmE",$E65,'參數'!$C$21))+IF($B65="shock",$D65,IF($C65="shock",$E65,'參數'!$C$26))))*(1+IF($B65="inflation",$D65,IF($C65="inflation",$E65,'參數'!$C$27)))-AE65</x:f>
        <x:v>0.12</x:v>
      </x:c>
      <x:c r="AG65" s="29" t="n">
        <x:f>1-(1-(IF($B65="gmM",$D65,IF($C65="gmM",$E65,'參數'!$C$22))+IF($B65="dev",$D65,IF($C65="dev",$E65,'參數'!$C$23))*IF($B65="devReal",$D65,IF($C65="devReal",$E65,'參數'!$C$24))+IF($B65="shock",$D65,IF($C65="shock",$E65,'參數'!$C$26))))*(1+IF($B65="inflation",$D65,IF($C65="inflation",$E65,'參數'!$C$27)))-AE65</x:f>
        <x:v>0.17999999999999994</x:v>
      </x:c>
      <x:c r="AH65" s="29" t="n">
        <x:f>1-(1-(IF($B65="gmA",$D65,IF($C65="gmA",$E65,'參數'!$C$25))+IF($B65="shock",$D65,IF($C65="shock",$E65,'參數'!$C$26))))*(1+IF($B65="inflation",$D65,IF($C65="inflation",$E65,'參數'!$C$27)))-AE65</x:f>
        <x:v>0.16000000000000003</x:v>
      </x:c>
      <x:c r="AI65" s="29" t="n">
        <x:f>IF(AB65=0,0,(Y65*AF65+Z65*AG65+AA65*AH65)/AB65)</x:f>
        <x:v>0.15599999999999997</x:v>
      </x:c>
      <x:c r="AJ65" s="28" t="n">
        <x:f>'參數'!$C$43</x:f>
        <x:v>1</x:v>
      </x:c>
      <x:c r="AK65" s="28" t="n">
        <x:f>MAX(0,(IF($B65="dso",$D65,IF($C65="dso",$E65,'參數'!$C$32))-(1-AI65)*IF($B65="dpo",$D65,IF($C65="dpo",$E65,'參數'!$C$33)))/365)</x:f>
        <x:v>0.10783561643835614</x:v>
      </x:c>
      <x:c r="AL65" s="28" t="n">
        <x:f>IF(AK65=0,AB65,(MAX(0,AJ65)+IF($B65="credit",$D65,IF($C65="credit",$E65,'參數'!$C$37)))/AK65)</x:f>
        <x:v>37.09349593495936</x:v>
      </x:c>
      <x:c r="AM65" s="28" t="n">
        <x:f>MIN(AB65,AC65,AL65)</x:f>
        <x:v>10</x:v>
      </x:c>
      <x:c r="AN65" s="28" t="n">
        <x:f>IF(AB65=0,0,AM65*Y65/AB65)</x:f>
        <x:v>4</x:v>
      </x:c>
      <x:c r="AO65" s="28" t="n">
        <x:f>IF(AB65=0,0,AM65*Z65/AB65)</x:f>
        <x:v>6</x:v>
      </x:c>
      <x:c r="AP65" s="28" t="n">
        <x:f>IF(AB65=0,0,AM65*AA65/AB65)</x:f>
        <x:v>0</x:v>
      </x:c>
      <x:c r="AQ65" s="28" t="n">
        <x:f>V65+L65-AN65</x:f>
        <x:v>0</x:v>
      </x:c>
      <x:c r="AR65" s="28" t="n">
        <x:f>W65+M65-AO65</x:f>
        <x:v>0</x:v>
      </x:c>
      <x:c r="AS65" s="28" t="n">
        <x:f>X65+N65-AP65</x:f>
        <x:v>0</x:v>
      </x:c>
      <x:c r="AT65" s="28" t="n">
        <x:f>AQ65+AR65+AS65</x:f>
        <x:v>0</x:v>
      </x:c>
      <x:c r="AU65" s="28" t="n">
        <x:f>AN65*(1-AF65)+AO65*(1-AG65)+AP65*(1-AH65)</x:f>
        <x:v>8.44</x:v>
      </x:c>
      <x:c r="AV65" s="28" t="n">
        <x:f>AM65-AU65</x:f>
        <x:v>1.5600000000000005</x:v>
      </x:c>
      <x:c r="AW65" s="29" t="n">
        <x:f>IF(AM65=0,0,AV65/AM65)</x:f>
        <x:v>0.15600000000000006</x:v>
      </x:c>
      <x:c r="AX65" s="28" t="n">
        <x:f>IF($B65="head",$D65,IF($C65="head",$E65,'參數'!$C$29))*IF($B65="wage",$D65,IF($C65="wage",$E65,'參數'!$C$30))</x:f>
        <x:v>0.22</x:v>
      </x:c>
      <x:c r="AY65" s="28" t="n">
        <x:f>IF($B65="opex",$D65,IF($C65="opex",$E65,'參數'!$C$31))</x:f>
        <x:v>0.23</x:v>
      </x:c>
      <x:c r="AZ65" s="28" t="n">
        <x:f>AX65+AY65</x:f>
        <x:v>0.45</x:v>
      </x:c>
      <x:c r="BA65" s="28" t="n">
        <x:f>AV65-AZ65</x:f>
        <x:v>1.1100000000000005</x:v>
      </x:c>
      <x:c r="BB65" s="28" t="n">
        <x:f>AM65*AK65</x:f>
        <x:v>1.0783561643835613</x:v>
      </x:c>
      <x:c r="BC65" s="28" t="n">
        <x:f>0</x:f>
        <x:v>0</x:v>
      </x:c>
      <x:c r="BD65" s="28" t="n">
        <x:f>MAX(0,BB65-MAX(0,AJ65))</x:f>
        <x:v>0.0783561643835613</x:v>
      </x:c>
      <x:c r="BE65" s="28" t="n">
        <x:f>(BC65+BD65)/2</x:f>
        <x:v>0.03917808219178065</x:v>
      </x:c>
      <x:c r="BF65" s="28" t="n">
        <x:f>BE65*IF($B65="rate",$D65,IF($C65="rate",$E65,'參數'!$C$34))</x:f>
        <x:v>0.001567123287671226</x:v>
      </x:c>
      <x:c r="BG65" s="28" t="n">
        <x:f>IF($B65="nonop",$D65,IF($C65="nonop",$E65,'參數'!$C$36))</x:f>
        <x:v>0.02</x:v>
      </x:c>
      <x:c r="BH65" s="28" t="n">
        <x:f>BA65+BG65-BF65</x:f>
        <x:v>1.1284328767123293</x:v>
      </x:c>
      <x:c r="BI65" s="28" t="n">
        <x:f>MAX(0,BH65)*IF($B65="tax",$D65,IF($C65="tax",$E65,'參數'!$C$35))</x:f>
        <x:v>0.22568657534246586</x:v>
      </x:c>
      <x:c r="BJ65" s="28" t="n">
        <x:f>BH65-BI65</x:f>
        <x:v>0.9027463013698634</x:v>
      </x:c>
      <x:c r="BK65" s="29" t="n">
        <x:f>IF(AM65=0,0,BJ65/AM65)</x:f>
        <x:v>0.09027463013698635</x:v>
      </x:c>
      <x:c r="BL65" s="28" t="n">
        <x:f>IF(BJ65&gt;=0,BJ65*IF($B65="retain",$D65,IF($C65="retain",$E65,'參數'!$C$38)),BJ65)</x:f>
        <x:v>0.4513731506849317</x:v>
      </x:c>
      <x:c r="BM65" s="28" t="n">
        <x:f>AJ65+BL65</x:f>
        <x:v>1.4513731506849317</x:v>
      </x:c>
      <x:c r="BN65" s="28" t="n">
        <x:f>MAX(0,AB65-AC65)</x:f>
        <x:v>0</x:v>
      </x:c>
      <x:c r="BO65" s="28" t="n">
        <x:f>MAX(0,MIN(AB65,AC65)-AM65)</x:f>
        <x:v>0</x:v>
      </x:c>
    </x:row>
    <x:row r="66" ht="24" customHeight="1">
      <x:c r="A66" s="2" t="str">
        <x:v>AIDC可簽約金額保留率高端</x:v>
      </x:c>
      <x:c r="B66" s="2" t="str">
        <x:v>gateA</x:v>
      </x:c>
      <x:c r="C66" s="2" t="str"/>
      <x:c r="D66" s="11" t="n">
        <x:f>D8</x:f>
        <x:v>1</x:v>
      </x:c>
      <x:c r="E66" s="11" t="n">
        <x:f>0</x:f>
        <x:v>0</x:v>
      </x:c>
      <x:c r="F66" s="11" t="n">
        <x:f>'參數'!$C$47</x:f>
        <x:v>0</x:v>
      </x:c>
      <x:c r="G66" s="11" t="n">
        <x:f>'參數'!$C$48</x:f>
        <x:v>0</x:v>
      </x:c>
      <x:c r="H66" s="11" t="n">
        <x:f>'參數'!$C$49</x:f>
        <x:v>0</x:v>
      </x:c>
      <x:c r="I66" s="11" t="n">
        <x:f>F66+IF($B66="pE",$D66,IF($C66="pE",$E66,'參數'!$C$5))*IF($B66="scale",$D66,IF($C66="scale",$E66,'參數'!$C$8))</x:f>
        <x:v>10</x:v>
      </x:c>
      <x:c r="J66" s="11" t="n">
        <x:f>G66+IF($B66="pM",$D66,IF($C66="pM",$E66,'參數'!$C$6))*IF($B66="scale",$D66,IF($C66="scale",$E66,'參數'!$C$8))</x:f>
        <x:v>15</x:v>
      </x:c>
      <x:c r="K66" s="11" t="n">
        <x:f>H66+IF($B66="pA",$D66,IF($C66="pA",$E66,'參數'!$C$7))*IF($B66="scale",$D66,IF($C66="scale",$E66,'參數'!$C$8))</x:f>
        <x:v>50</x:v>
      </x:c>
      <x:c r="L66" s="11" t="n">
        <x:f>I66*IF($B66="winE",$D66,IF($C66="winE",$E66,'參數'!$C$9))</x:f>
        <x:v>4</x:v>
      </x:c>
      <x:c r="M66" s="28" t="n">
        <x:f>J66*IF($B66="winM",$D66,IF($C66="winM",$E66,'參數'!$C$10))</x:f>
        <x:v>6</x:v>
      </x:c>
      <x:c r="N66" s="28" t="n">
        <x:f>MIN(K66,IF($B66="readyA",$D66,IF($C66="readyA",$E66,'參數'!$C$11))*IF($B66="gateA",$D66,IF($C66="gateA",$E66,'參數'!$C$12)))</x:f>
        <x:v>10</x:v>
      </x:c>
      <x:c r="O66" s="28" t="n">
        <x:f>L66+M66+N66</x:f>
        <x:v>20</x:v>
      </x:c>
      <x:c r="P66" s="28" t="n">
        <x:f>(I66-L66)*IF($B66="attrition",$D66,IF($C66="attrition",$E66,'參數'!$C$13))</x:f>
        <x:v>1.2000000000000002</x:v>
      </x:c>
      <x:c r="Q66" s="28" t="n">
        <x:f>(J66-M66)*IF($B66="attrition",$D66,IF($C66="attrition",$E66,'參數'!$C$13))</x:f>
        <x:v>1.8</x:v>
      </x:c>
      <x:c r="R66" s="28" t="n">
        <x:f>(K66-N66)*IF($B66="attrition",$D66,IF($C66="attrition",$E66,'參數'!$C$13))</x:f>
        <x:v>8</x:v>
      </x:c>
      <x:c r="S66" s="28" t="n">
        <x:f>I66-L66-P66</x:f>
        <x:v>4.8</x:v>
      </x:c>
      <x:c r="T66" s="28" t="n">
        <x:f>J66-M66-Q66</x:f>
        <x:v>7.2</x:v>
      </x:c>
      <x:c r="U66" s="28" t="n">
        <x:f>K66-N66-R66</x:f>
        <x:v>32</x:v>
      </x:c>
      <x:c r="V66" s="28" t="n">
        <x:f>'參數'!$C$44</x:f>
        <x:v>0</x:v>
      </x:c>
      <x:c r="W66" s="28" t="n">
        <x:f>'參數'!$C$45</x:f>
        <x:v>0</x:v>
      </x:c>
      <x:c r="X66" s="28" t="n">
        <x:f>'參數'!$C$46</x:f>
        <x:v>0</x:v>
      </x:c>
      <x:c r="Y66" s="28" t="n">
        <x:f>V66*IF($B66="relE",$D66,IF($C66="relE",$E66,'參數'!$C$17))+L66*IF($B66="nowE",$D66,IF($C66="nowE",$E66,'參數'!$C$14))</x:f>
        <x:v>4</x:v>
      </x:c>
      <x:c r="Z66" s="28" t="n">
        <x:f>W66*IF($B66="relM",$D66,IF($C66="relM",$E66,'參數'!$C$18))+M66*IF($B66="nowM",$D66,IF($C66="nowM",$E66,'參數'!$C$15))</x:f>
        <x:v>6</x:v>
      </x:c>
      <x:c r="AA66" s="28" t="n">
        <x:f>X66*IF($B66="relA",$D66,IF($C66="relA",$E66,'參數'!$C$19))+N66*IF($B66="nowA",$D66,IF($C66="nowA",$E66,'參數'!$C$16))</x:f>
        <x:v>0</x:v>
      </x:c>
      <x:c r="AB66" s="28" t="n">
        <x:f>Y66+Z66+AA66</x:f>
        <x:v>10</x:v>
      </x:c>
      <x:c r="AC66" s="28" t="n">
        <x:f>IF($B66="capacity",$D66,IF($C66="capacity",$E66,'參數'!$C$20))</x:f>
        <x:v>10</x:v>
      </x:c>
      <x:c r="AD66" s="28" t="n">
        <x:f>IF(AC66=0,0,AB66/AC66)</x:f>
        <x:v>1</x:v>
      </x:c>
      <x:c r="AE66" s="29" t="n">
        <x:f>MAX(0,AD66-1)*IF($B66="congestion",$D66,IF($C66="congestion",$E66,'參數'!$C$28))</x:f>
        <x:v>0</x:v>
      </x:c>
      <x:c r="AF66" s="29" t="n">
        <x:f>1-(1-(IF($B66="gmE",$D66,IF($C66="gmE",$E66,'參數'!$C$21))+IF($B66="shock",$D66,IF($C66="shock",$E66,'參數'!$C$26))))*(1+IF($B66="inflation",$D66,IF($C66="inflation",$E66,'參數'!$C$27)))-AE66</x:f>
        <x:v>0.12</x:v>
      </x:c>
      <x:c r="AG66" s="29" t="n">
        <x:f>1-(1-(IF($B66="gmM",$D66,IF($C66="gmM",$E66,'參數'!$C$22))+IF($B66="dev",$D66,IF($C66="dev",$E66,'參數'!$C$23))*IF($B66="devReal",$D66,IF($C66="devReal",$E66,'參數'!$C$24))+IF($B66="shock",$D66,IF($C66="shock",$E66,'參數'!$C$26))))*(1+IF($B66="inflation",$D66,IF($C66="inflation",$E66,'參數'!$C$27)))-AE66</x:f>
        <x:v>0.17999999999999994</x:v>
      </x:c>
      <x:c r="AH66" s="29" t="n">
        <x:f>1-(1-(IF($B66="gmA",$D66,IF($C66="gmA",$E66,'參數'!$C$25))+IF($B66="shock",$D66,IF($C66="shock",$E66,'參數'!$C$26))))*(1+IF($B66="inflation",$D66,IF($C66="inflation",$E66,'參數'!$C$27)))-AE66</x:f>
        <x:v>0.16000000000000003</x:v>
      </x:c>
      <x:c r="AI66" s="29" t="n">
        <x:f>IF(AB66=0,0,(Y66*AF66+Z66*AG66+AA66*AH66)/AB66)</x:f>
        <x:v>0.15599999999999997</x:v>
      </x:c>
      <x:c r="AJ66" s="28" t="n">
        <x:f>'參數'!$C$43</x:f>
        <x:v>1</x:v>
      </x:c>
      <x:c r="AK66" s="28" t="n">
        <x:f>MAX(0,(IF($B66="dso",$D66,IF($C66="dso",$E66,'參數'!$C$32))-(1-AI66)*IF($B66="dpo",$D66,IF($C66="dpo",$E66,'參數'!$C$33)))/365)</x:f>
        <x:v>0.10783561643835614</x:v>
      </x:c>
      <x:c r="AL66" s="28" t="n">
        <x:f>IF(AK66=0,AB66,(MAX(0,AJ66)+IF($B66="credit",$D66,IF($C66="credit",$E66,'參數'!$C$37)))/AK66)</x:f>
        <x:v>37.09349593495936</x:v>
      </x:c>
      <x:c r="AM66" s="28" t="n">
        <x:f>MIN(AB66,AC66,AL66)</x:f>
        <x:v>10</x:v>
      </x:c>
      <x:c r="AN66" s="28" t="n">
        <x:f>IF(AB66=0,0,AM66*Y66/AB66)</x:f>
        <x:v>4</x:v>
      </x:c>
      <x:c r="AO66" s="28" t="n">
        <x:f>IF(AB66=0,0,AM66*Z66/AB66)</x:f>
        <x:v>6</x:v>
      </x:c>
      <x:c r="AP66" s="28" t="n">
        <x:f>IF(AB66=0,0,AM66*AA66/AB66)</x:f>
        <x:v>0</x:v>
      </x:c>
      <x:c r="AQ66" s="28" t="n">
        <x:f>V66+L66-AN66</x:f>
        <x:v>0</x:v>
      </x:c>
      <x:c r="AR66" s="28" t="n">
        <x:f>W66+M66-AO66</x:f>
        <x:v>0</x:v>
      </x:c>
      <x:c r="AS66" s="28" t="n">
        <x:f>X66+N66-AP66</x:f>
        <x:v>10</x:v>
      </x:c>
      <x:c r="AT66" s="28" t="n">
        <x:f>AQ66+AR66+AS66</x:f>
        <x:v>10</x:v>
      </x:c>
      <x:c r="AU66" s="28" t="n">
        <x:f>AN66*(1-AF66)+AO66*(1-AG66)+AP66*(1-AH66)</x:f>
        <x:v>8.44</x:v>
      </x:c>
      <x:c r="AV66" s="28" t="n">
        <x:f>AM66-AU66</x:f>
        <x:v>1.5600000000000005</x:v>
      </x:c>
      <x:c r="AW66" s="29" t="n">
        <x:f>IF(AM66=0,0,AV66/AM66)</x:f>
        <x:v>0.15600000000000006</x:v>
      </x:c>
      <x:c r="AX66" s="28" t="n">
        <x:f>IF($B66="head",$D66,IF($C66="head",$E66,'參數'!$C$29))*IF($B66="wage",$D66,IF($C66="wage",$E66,'參數'!$C$30))</x:f>
        <x:v>0.22</x:v>
      </x:c>
      <x:c r="AY66" s="28" t="n">
        <x:f>IF($B66="opex",$D66,IF($C66="opex",$E66,'參數'!$C$31))</x:f>
        <x:v>0.23</x:v>
      </x:c>
      <x:c r="AZ66" s="28" t="n">
        <x:f>AX66+AY66</x:f>
        <x:v>0.45</x:v>
      </x:c>
      <x:c r="BA66" s="28" t="n">
        <x:f>AV66-AZ66</x:f>
        <x:v>1.1100000000000005</x:v>
      </x:c>
      <x:c r="BB66" s="28" t="n">
        <x:f>AM66*AK66</x:f>
        <x:v>1.0783561643835613</x:v>
      </x:c>
      <x:c r="BC66" s="28" t="n">
        <x:f>0</x:f>
        <x:v>0</x:v>
      </x:c>
      <x:c r="BD66" s="28" t="n">
        <x:f>MAX(0,BB66-MAX(0,AJ66))</x:f>
        <x:v>0.0783561643835613</x:v>
      </x:c>
      <x:c r="BE66" s="28" t="n">
        <x:f>(BC66+BD66)/2</x:f>
        <x:v>0.03917808219178065</x:v>
      </x:c>
      <x:c r="BF66" s="28" t="n">
        <x:f>BE66*IF($B66="rate",$D66,IF($C66="rate",$E66,'參數'!$C$34))</x:f>
        <x:v>0.001567123287671226</x:v>
      </x:c>
      <x:c r="BG66" s="28" t="n">
        <x:f>IF($B66="nonop",$D66,IF($C66="nonop",$E66,'參數'!$C$36))</x:f>
        <x:v>0.02</x:v>
      </x:c>
      <x:c r="BH66" s="28" t="n">
        <x:f>BA66+BG66-BF66</x:f>
        <x:v>1.1284328767123293</x:v>
      </x:c>
      <x:c r="BI66" s="28" t="n">
        <x:f>MAX(0,BH66)*IF($B66="tax",$D66,IF($C66="tax",$E66,'參數'!$C$35))</x:f>
        <x:v>0.22568657534246586</x:v>
      </x:c>
      <x:c r="BJ66" s="28" t="n">
        <x:f>BH66-BI66</x:f>
        <x:v>0.9027463013698634</x:v>
      </x:c>
      <x:c r="BK66" s="29" t="n">
        <x:f>IF(AM66=0,0,BJ66/AM66)</x:f>
        <x:v>0.09027463013698635</x:v>
      </x:c>
      <x:c r="BL66" s="28" t="n">
        <x:f>IF(BJ66&gt;=0,BJ66*IF($B66="retain",$D66,IF($C66="retain",$E66,'參數'!$C$38)),BJ66)</x:f>
        <x:v>0.4513731506849317</x:v>
      </x:c>
      <x:c r="BM66" s="28" t="n">
        <x:f>AJ66+BL66</x:f>
        <x:v>1.4513731506849317</x:v>
      </x:c>
      <x:c r="BN66" s="28" t="n">
        <x:f>MAX(0,AB66-AC66)</x:f>
        <x:v>0</x:v>
      </x:c>
      <x:c r="BO66" s="28" t="n">
        <x:f>MAX(0,MIN(AB66,AC66)-AM66)</x:f>
        <x:v>0</x:v>
      </x:c>
    </x:row>
    <x:row r="67" ht="24" customHeight="1">
      <x:c r="A67" s="2" t="str">
        <x:v>統包當年新約可交付率低端</x:v>
      </x:c>
      <x:c r="B67" s="2" t="str">
        <x:v>nowE</x:v>
      </x:c>
      <x:c r="C67" s="2" t="str"/>
      <x:c r="D67" s="11" t="n">
        <x:f>C9</x:f>
        <x:v>0.8</x:v>
      </x:c>
      <x:c r="E67" s="11" t="n">
        <x:f>0</x:f>
        <x:v>0</x:v>
      </x:c>
      <x:c r="F67" s="11" t="n">
        <x:f>'參數'!$C$47</x:f>
        <x:v>0</x:v>
      </x:c>
      <x:c r="G67" s="11" t="n">
        <x:f>'參數'!$C$48</x:f>
        <x:v>0</x:v>
      </x:c>
      <x:c r="H67" s="11" t="n">
        <x:f>'參數'!$C$49</x:f>
        <x:v>0</x:v>
      </x:c>
      <x:c r="I67" s="11" t="n">
        <x:f>F67+IF($B67="pE",$D67,IF($C67="pE",$E67,'參數'!$C$5))*IF($B67="scale",$D67,IF($C67="scale",$E67,'參數'!$C$8))</x:f>
        <x:v>10</x:v>
      </x:c>
      <x:c r="J67" s="11" t="n">
        <x:f>G67+IF($B67="pM",$D67,IF($C67="pM",$E67,'參數'!$C$6))*IF($B67="scale",$D67,IF($C67="scale",$E67,'參數'!$C$8))</x:f>
        <x:v>15</x:v>
      </x:c>
      <x:c r="K67" s="11" t="n">
        <x:f>H67+IF($B67="pA",$D67,IF($C67="pA",$E67,'參數'!$C$7))*IF($B67="scale",$D67,IF($C67="scale",$E67,'參數'!$C$8))</x:f>
        <x:v>50</x:v>
      </x:c>
      <x:c r="L67" s="11" t="n">
        <x:f>I67*IF($B67="winE",$D67,IF($C67="winE",$E67,'參數'!$C$9))</x:f>
        <x:v>4</x:v>
      </x:c>
      <x:c r="M67" s="28" t="n">
        <x:f>J67*IF($B67="winM",$D67,IF($C67="winM",$E67,'參數'!$C$10))</x:f>
        <x:v>6</x:v>
      </x:c>
      <x:c r="N67" s="28" t="n">
        <x:f>MIN(K67,IF($B67="readyA",$D67,IF($C67="readyA",$E67,'參數'!$C$11))*IF($B67="gateA",$D67,IF($C67="gateA",$E67,'參數'!$C$12)))</x:f>
        <x:v>10</x:v>
      </x:c>
      <x:c r="O67" s="28" t="n">
        <x:f>L67+M67+N67</x:f>
        <x:v>20</x:v>
      </x:c>
      <x:c r="P67" s="28" t="n">
        <x:f>(I67-L67)*IF($B67="attrition",$D67,IF($C67="attrition",$E67,'參數'!$C$13))</x:f>
        <x:v>1.2000000000000002</x:v>
      </x:c>
      <x:c r="Q67" s="28" t="n">
        <x:f>(J67-M67)*IF($B67="attrition",$D67,IF($C67="attrition",$E67,'參數'!$C$13))</x:f>
        <x:v>1.8</x:v>
      </x:c>
      <x:c r="R67" s="28" t="n">
        <x:f>(K67-N67)*IF($B67="attrition",$D67,IF($C67="attrition",$E67,'參數'!$C$13))</x:f>
        <x:v>8</x:v>
      </x:c>
      <x:c r="S67" s="28" t="n">
        <x:f>I67-L67-P67</x:f>
        <x:v>4.8</x:v>
      </x:c>
      <x:c r="T67" s="28" t="n">
        <x:f>J67-M67-Q67</x:f>
        <x:v>7.2</x:v>
      </x:c>
      <x:c r="U67" s="28" t="n">
        <x:f>K67-N67-R67</x:f>
        <x:v>32</x:v>
      </x:c>
      <x:c r="V67" s="28" t="n">
        <x:f>'參數'!$C$44</x:f>
        <x:v>0</x:v>
      </x:c>
      <x:c r="W67" s="28" t="n">
        <x:f>'參數'!$C$45</x:f>
        <x:v>0</x:v>
      </x:c>
      <x:c r="X67" s="28" t="n">
        <x:f>'參數'!$C$46</x:f>
        <x:v>0</x:v>
      </x:c>
      <x:c r="Y67" s="28" t="n">
        <x:f>V67*IF($B67="relE",$D67,IF($C67="relE",$E67,'參數'!$C$17))+L67*IF($B67="nowE",$D67,IF($C67="nowE",$E67,'參數'!$C$14))</x:f>
        <x:v>3.2</x:v>
      </x:c>
      <x:c r="Z67" s="28" t="n">
        <x:f>W67*IF($B67="relM",$D67,IF($C67="relM",$E67,'參數'!$C$18))+M67*IF($B67="nowM",$D67,IF($C67="nowM",$E67,'參數'!$C$15))</x:f>
        <x:v>6</x:v>
      </x:c>
      <x:c r="AA67" s="28" t="n">
        <x:f>X67*IF($B67="relA",$D67,IF($C67="relA",$E67,'參數'!$C$19))+N67*IF($B67="nowA",$D67,IF($C67="nowA",$E67,'參數'!$C$16))</x:f>
        <x:v>0</x:v>
      </x:c>
      <x:c r="AB67" s="28" t="n">
        <x:f>Y67+Z67+AA67</x:f>
        <x:v>9.2</x:v>
      </x:c>
      <x:c r="AC67" s="28" t="n">
        <x:f>IF($B67="capacity",$D67,IF($C67="capacity",$E67,'參數'!$C$20))</x:f>
        <x:v>10</x:v>
      </x:c>
      <x:c r="AD67" s="28" t="n">
        <x:f>IF(AC67=0,0,AB67/AC67)</x:f>
        <x:v>0.9199999999999999</x:v>
      </x:c>
      <x:c r="AE67" s="29" t="n">
        <x:f>MAX(0,AD67-1)*IF($B67="congestion",$D67,IF($C67="congestion",$E67,'參數'!$C$28))</x:f>
        <x:v>0</x:v>
      </x:c>
      <x:c r="AF67" s="29" t="n">
        <x:f>1-(1-(IF($B67="gmE",$D67,IF($C67="gmE",$E67,'參數'!$C$21))+IF($B67="shock",$D67,IF($C67="shock",$E67,'參數'!$C$26))))*(1+IF($B67="inflation",$D67,IF($C67="inflation",$E67,'參數'!$C$27)))-AE67</x:f>
        <x:v>0.12</x:v>
      </x:c>
      <x:c r="AG67" s="29" t="n">
        <x:f>1-(1-(IF($B67="gmM",$D67,IF($C67="gmM",$E67,'參數'!$C$22))+IF($B67="dev",$D67,IF($C67="dev",$E67,'參數'!$C$23))*IF($B67="devReal",$D67,IF($C67="devReal",$E67,'參數'!$C$24))+IF($B67="shock",$D67,IF($C67="shock",$E67,'參數'!$C$26))))*(1+IF($B67="inflation",$D67,IF($C67="inflation",$E67,'參數'!$C$27)))-AE67</x:f>
        <x:v>0.17999999999999994</x:v>
      </x:c>
      <x:c r="AH67" s="29" t="n">
        <x:f>1-(1-(IF($B67="gmA",$D67,IF($C67="gmA",$E67,'參數'!$C$25))+IF($B67="shock",$D67,IF($C67="shock",$E67,'參數'!$C$26))))*(1+IF($B67="inflation",$D67,IF($C67="inflation",$E67,'參數'!$C$27)))-AE67</x:f>
        <x:v>0.16000000000000003</x:v>
      </x:c>
      <x:c r="AI67" s="29" t="n">
        <x:f>IF(AB67=0,0,(Y67*AF67+Z67*AG67+AA67*AH67)/AB67)</x:f>
        <x:v>0.15913043478260866</x:v>
      </x:c>
      <x:c r="AJ67" s="28" t="n">
        <x:f>'參數'!$C$43</x:f>
        <x:v>1</x:v>
      </x:c>
      <x:c r="AK67" s="28" t="n">
        <x:f>MAX(0,(IF($B67="dso",$D67,IF($C67="dso",$E67,'參數'!$C$32))-(1-AI67)*IF($B67="dpo",$D67,IF($C67="dpo",$E67,'參數'!$C$33)))/365)</x:f>
        <x:v>0.10835020845741512</x:v>
      </x:c>
      <x:c r="AL67" s="28" t="n">
        <x:f>IF(AK67=0,AB67,(MAX(0,AJ67)+IF($B67="credit",$D67,IF($C67="credit",$E67,'參數'!$C$37)))/AK67)</x:f>
        <x:v>36.917326297273526</x:v>
      </x:c>
      <x:c r="AM67" s="28" t="n">
        <x:f>MIN(AB67,AC67,AL67)</x:f>
        <x:v>9.2</x:v>
      </x:c>
      <x:c r="AN67" s="28" t="n">
        <x:f>IF(AB67=0,0,AM67*Y67/AB67)</x:f>
        <x:v>3.2</x:v>
      </x:c>
      <x:c r="AO67" s="28" t="n">
        <x:f>IF(AB67=0,0,AM67*Z67/AB67)</x:f>
        <x:v>6</x:v>
      </x:c>
      <x:c r="AP67" s="28" t="n">
        <x:f>IF(AB67=0,0,AM67*AA67/AB67)</x:f>
        <x:v>0</x:v>
      </x:c>
      <x:c r="AQ67" s="28" t="n">
        <x:f>V67+L67-AN67</x:f>
        <x:v>0.7999999999999998</x:v>
      </x:c>
      <x:c r="AR67" s="28" t="n">
        <x:f>W67+M67-AO67</x:f>
        <x:v>0</x:v>
      </x:c>
      <x:c r="AS67" s="28" t="n">
        <x:f>X67+N67-AP67</x:f>
        <x:v>10</x:v>
      </x:c>
      <x:c r="AT67" s="28" t="n">
        <x:f>AQ67+AR67+AS67</x:f>
        <x:v>10.8</x:v>
      </x:c>
      <x:c r="AU67" s="28" t="n">
        <x:f>AN67*(1-AF67)+AO67*(1-AG67)+AP67*(1-AH67)</x:f>
        <x:v>7.736000000000001</x:v>
      </x:c>
      <x:c r="AV67" s="28" t="n">
        <x:f>AM67-AU67</x:f>
        <x:v>1.4639999999999986</x:v>
      </x:c>
      <x:c r="AW67" s="29" t="n">
        <x:f>IF(AM67=0,0,AV67/AM67)</x:f>
        <x:v>0.15913043478260855</x:v>
      </x:c>
      <x:c r="AX67" s="28" t="n">
        <x:f>IF($B67="head",$D67,IF($C67="head",$E67,'參數'!$C$29))*IF($B67="wage",$D67,IF($C67="wage",$E67,'參數'!$C$30))</x:f>
        <x:v>0.22</x:v>
      </x:c>
      <x:c r="AY67" s="28" t="n">
        <x:f>IF($B67="opex",$D67,IF($C67="opex",$E67,'參數'!$C$31))</x:f>
        <x:v>0.23</x:v>
      </x:c>
      <x:c r="AZ67" s="28" t="n">
        <x:f>AX67+AY67</x:f>
        <x:v>0.45</x:v>
      </x:c>
      <x:c r="BA67" s="28" t="n">
        <x:f>AV67-AZ67</x:f>
        <x:v>1.0139999999999987</x:v>
      </x:c>
      <x:c r="BB67" s="28" t="n">
        <x:f>AM67*AK67</x:f>
        <x:v>0.996821917808219</x:v>
      </x:c>
      <x:c r="BC67" s="28" t="n">
        <x:f>0</x:f>
        <x:v>0</x:v>
      </x:c>
      <x:c r="BD67" s="28" t="n">
        <x:f>MAX(0,BB67-MAX(0,AJ67))</x:f>
        <x:v>0</x:v>
      </x:c>
      <x:c r="BE67" s="28" t="n">
        <x:f>(BC67+BD67)/2</x:f>
        <x:v>0</x:v>
      </x:c>
      <x:c r="BF67" s="28" t="n">
        <x:f>BE67*IF($B67="rate",$D67,IF($C67="rate",$E67,'參數'!$C$34))</x:f>
        <x:v>0</x:v>
      </x:c>
      <x:c r="BG67" s="28" t="n">
        <x:f>IF($B67="nonop",$D67,IF($C67="nonop",$E67,'參數'!$C$36))</x:f>
        <x:v>0.02</x:v>
      </x:c>
      <x:c r="BH67" s="28" t="n">
        <x:f>BA67+BG67-BF67</x:f>
        <x:v>1.0339999999999987</x:v>
      </x:c>
      <x:c r="BI67" s="28" t="n">
        <x:f>MAX(0,BH67)*IF($B67="tax",$D67,IF($C67="tax",$E67,'參數'!$C$35))</x:f>
        <x:v>0.20679999999999976</x:v>
      </x:c>
      <x:c r="BJ67" s="28" t="n">
        <x:f>BH67-BI67</x:f>
        <x:v>0.8271999999999989</x:v>
      </x:c>
      <x:c r="BK67" s="29" t="n">
        <x:f>IF(AM67=0,0,BJ67/AM67)</x:f>
        <x:v>0.08991304347826076</x:v>
      </x:c>
      <x:c r="BL67" s="28" t="n">
        <x:f>IF(BJ67&gt;=0,BJ67*IF($B67="retain",$D67,IF($C67="retain",$E67,'參數'!$C$38)),BJ67)</x:f>
        <x:v>0.41359999999999947</x:v>
      </x:c>
      <x:c r="BM67" s="28" t="n">
        <x:f>AJ67+BL67</x:f>
        <x:v>1.4135999999999995</x:v>
      </x:c>
      <x:c r="BN67" s="28" t="n">
        <x:f>MAX(0,AB67-AC67)</x:f>
        <x:v>0</x:v>
      </x:c>
      <x:c r="BO67" s="28" t="n">
        <x:f>MAX(0,MIN(AB67,AC67)-AM67)</x:f>
        <x:v>0</x:v>
      </x:c>
    </x:row>
    <x:row r="68" ht="24" customHeight="1">
      <x:c r="A68" s="2" t="str">
        <x:v>統包當年新約可交付率高端</x:v>
      </x:c>
      <x:c r="B68" s="2" t="str">
        <x:v>nowE</x:v>
      </x:c>
      <x:c r="C68" s="2" t="str"/>
      <x:c r="D68" s="11" t="n">
        <x:f>D9</x:f>
        <x:v>1</x:v>
      </x:c>
      <x:c r="E68" s="11" t="n">
        <x:f>0</x:f>
        <x:v>0</x:v>
      </x:c>
      <x:c r="F68" s="11" t="n">
        <x:f>'參數'!$C$47</x:f>
        <x:v>0</x:v>
      </x:c>
      <x:c r="G68" s="11" t="n">
        <x:f>'參數'!$C$48</x:f>
        <x:v>0</x:v>
      </x:c>
      <x:c r="H68" s="11" t="n">
        <x:f>'參數'!$C$49</x:f>
        <x:v>0</x:v>
      </x:c>
      <x:c r="I68" s="11" t="n">
        <x:f>F68+IF($B68="pE",$D68,IF($C68="pE",$E68,'參數'!$C$5))*IF($B68="scale",$D68,IF($C68="scale",$E68,'參數'!$C$8))</x:f>
        <x:v>10</x:v>
      </x:c>
      <x:c r="J68" s="11" t="n">
        <x:f>G68+IF($B68="pM",$D68,IF($C68="pM",$E68,'參數'!$C$6))*IF($B68="scale",$D68,IF($C68="scale",$E68,'參數'!$C$8))</x:f>
        <x:v>15</x:v>
      </x:c>
      <x:c r="K68" s="11" t="n">
        <x:f>H68+IF($B68="pA",$D68,IF($C68="pA",$E68,'參數'!$C$7))*IF($B68="scale",$D68,IF($C68="scale",$E68,'參數'!$C$8))</x:f>
        <x:v>50</x:v>
      </x:c>
      <x:c r="L68" s="11" t="n">
        <x:f>I68*IF($B68="winE",$D68,IF($C68="winE",$E68,'參數'!$C$9))</x:f>
        <x:v>4</x:v>
      </x:c>
      <x:c r="M68" s="28" t="n">
        <x:f>J68*IF($B68="winM",$D68,IF($C68="winM",$E68,'參數'!$C$10))</x:f>
        <x:v>6</x:v>
      </x:c>
      <x:c r="N68" s="28" t="n">
        <x:f>MIN(K68,IF($B68="readyA",$D68,IF($C68="readyA",$E68,'參數'!$C$11))*IF($B68="gateA",$D68,IF($C68="gateA",$E68,'參數'!$C$12)))</x:f>
        <x:v>10</x:v>
      </x:c>
      <x:c r="O68" s="28" t="n">
        <x:f>L68+M68+N68</x:f>
        <x:v>20</x:v>
      </x:c>
      <x:c r="P68" s="28" t="n">
        <x:f>(I68-L68)*IF($B68="attrition",$D68,IF($C68="attrition",$E68,'參數'!$C$13))</x:f>
        <x:v>1.2000000000000002</x:v>
      </x:c>
      <x:c r="Q68" s="28" t="n">
        <x:f>(J68-M68)*IF($B68="attrition",$D68,IF($C68="attrition",$E68,'參數'!$C$13))</x:f>
        <x:v>1.8</x:v>
      </x:c>
      <x:c r="R68" s="28" t="n">
        <x:f>(K68-N68)*IF($B68="attrition",$D68,IF($C68="attrition",$E68,'參數'!$C$13))</x:f>
        <x:v>8</x:v>
      </x:c>
      <x:c r="S68" s="28" t="n">
        <x:f>I68-L68-P68</x:f>
        <x:v>4.8</x:v>
      </x:c>
      <x:c r="T68" s="28" t="n">
        <x:f>J68-M68-Q68</x:f>
        <x:v>7.2</x:v>
      </x:c>
      <x:c r="U68" s="28" t="n">
        <x:f>K68-N68-R68</x:f>
        <x:v>32</x:v>
      </x:c>
      <x:c r="V68" s="28" t="n">
        <x:f>'參數'!$C$44</x:f>
        <x:v>0</x:v>
      </x:c>
      <x:c r="W68" s="28" t="n">
        <x:f>'參數'!$C$45</x:f>
        <x:v>0</x:v>
      </x:c>
      <x:c r="X68" s="28" t="n">
        <x:f>'參數'!$C$46</x:f>
        <x:v>0</x:v>
      </x:c>
      <x:c r="Y68" s="28" t="n">
        <x:f>V68*IF($B68="relE",$D68,IF($C68="relE",$E68,'參數'!$C$17))+L68*IF($B68="nowE",$D68,IF($C68="nowE",$E68,'參數'!$C$14))</x:f>
        <x:v>4</x:v>
      </x:c>
      <x:c r="Z68" s="28" t="n">
        <x:f>W68*IF($B68="relM",$D68,IF($C68="relM",$E68,'參數'!$C$18))+M68*IF($B68="nowM",$D68,IF($C68="nowM",$E68,'參數'!$C$15))</x:f>
        <x:v>6</x:v>
      </x:c>
      <x:c r="AA68" s="28" t="n">
        <x:f>X68*IF($B68="relA",$D68,IF($C68="relA",$E68,'參數'!$C$19))+N68*IF($B68="nowA",$D68,IF($C68="nowA",$E68,'參數'!$C$16))</x:f>
        <x:v>0</x:v>
      </x:c>
      <x:c r="AB68" s="28" t="n">
        <x:f>Y68+Z68+AA68</x:f>
        <x:v>10</x:v>
      </x:c>
      <x:c r="AC68" s="28" t="n">
        <x:f>IF($B68="capacity",$D68,IF($C68="capacity",$E68,'參數'!$C$20))</x:f>
        <x:v>10</x:v>
      </x:c>
      <x:c r="AD68" s="28" t="n">
        <x:f>IF(AC68=0,0,AB68/AC68)</x:f>
        <x:v>1</x:v>
      </x:c>
      <x:c r="AE68" s="29" t="n">
        <x:f>MAX(0,AD68-1)*IF($B68="congestion",$D68,IF($C68="congestion",$E68,'參數'!$C$28))</x:f>
        <x:v>0</x:v>
      </x:c>
      <x:c r="AF68" s="29" t="n">
        <x:f>1-(1-(IF($B68="gmE",$D68,IF($C68="gmE",$E68,'參數'!$C$21))+IF($B68="shock",$D68,IF($C68="shock",$E68,'參數'!$C$26))))*(1+IF($B68="inflation",$D68,IF($C68="inflation",$E68,'參數'!$C$27)))-AE68</x:f>
        <x:v>0.12</x:v>
      </x:c>
      <x:c r="AG68" s="29" t="n">
        <x:f>1-(1-(IF($B68="gmM",$D68,IF($C68="gmM",$E68,'參數'!$C$22))+IF($B68="dev",$D68,IF($C68="dev",$E68,'參數'!$C$23))*IF($B68="devReal",$D68,IF($C68="devReal",$E68,'參數'!$C$24))+IF($B68="shock",$D68,IF($C68="shock",$E68,'參數'!$C$26))))*(1+IF($B68="inflation",$D68,IF($C68="inflation",$E68,'參數'!$C$27)))-AE68</x:f>
        <x:v>0.17999999999999994</x:v>
      </x:c>
      <x:c r="AH68" s="29" t="n">
        <x:f>1-(1-(IF($B68="gmA",$D68,IF($C68="gmA",$E68,'參數'!$C$25))+IF($B68="shock",$D68,IF($C68="shock",$E68,'參數'!$C$26))))*(1+IF($B68="inflation",$D68,IF($C68="inflation",$E68,'參數'!$C$27)))-AE68</x:f>
        <x:v>0.16000000000000003</x:v>
      </x:c>
      <x:c r="AI68" s="29" t="n">
        <x:f>IF(AB68=0,0,(Y68*AF68+Z68*AG68+AA68*AH68)/AB68)</x:f>
        <x:v>0.15599999999999997</x:v>
      </x:c>
      <x:c r="AJ68" s="28" t="n">
        <x:f>'參數'!$C$43</x:f>
        <x:v>1</x:v>
      </x:c>
      <x:c r="AK68" s="28" t="n">
        <x:f>MAX(0,(IF($B68="dso",$D68,IF($C68="dso",$E68,'參數'!$C$32))-(1-AI68)*IF($B68="dpo",$D68,IF($C68="dpo",$E68,'參數'!$C$33)))/365)</x:f>
        <x:v>0.10783561643835614</x:v>
      </x:c>
      <x:c r="AL68" s="28" t="n">
        <x:f>IF(AK68=0,AB68,(MAX(0,AJ68)+IF($B68="credit",$D68,IF($C68="credit",$E68,'參數'!$C$37)))/AK68)</x:f>
        <x:v>37.09349593495936</x:v>
      </x:c>
      <x:c r="AM68" s="28" t="n">
        <x:f>MIN(AB68,AC68,AL68)</x:f>
        <x:v>10</x:v>
      </x:c>
      <x:c r="AN68" s="28" t="n">
        <x:f>IF(AB68=0,0,AM68*Y68/AB68)</x:f>
        <x:v>4</x:v>
      </x:c>
      <x:c r="AO68" s="28" t="n">
        <x:f>IF(AB68=0,0,AM68*Z68/AB68)</x:f>
        <x:v>6</x:v>
      </x:c>
      <x:c r="AP68" s="28" t="n">
        <x:f>IF(AB68=0,0,AM68*AA68/AB68)</x:f>
        <x:v>0</x:v>
      </x:c>
      <x:c r="AQ68" s="28" t="n">
        <x:f>V68+L68-AN68</x:f>
        <x:v>0</x:v>
      </x:c>
      <x:c r="AR68" s="28" t="n">
        <x:f>W68+M68-AO68</x:f>
        <x:v>0</x:v>
      </x:c>
      <x:c r="AS68" s="28" t="n">
        <x:f>X68+N68-AP68</x:f>
        <x:v>10</x:v>
      </x:c>
      <x:c r="AT68" s="28" t="n">
        <x:f>AQ68+AR68+AS68</x:f>
        <x:v>10</x:v>
      </x:c>
      <x:c r="AU68" s="28" t="n">
        <x:f>AN68*(1-AF68)+AO68*(1-AG68)+AP68*(1-AH68)</x:f>
        <x:v>8.44</x:v>
      </x:c>
      <x:c r="AV68" s="28" t="n">
        <x:f>AM68-AU68</x:f>
        <x:v>1.5600000000000005</x:v>
      </x:c>
      <x:c r="AW68" s="29" t="n">
        <x:f>IF(AM68=0,0,AV68/AM68)</x:f>
        <x:v>0.15600000000000006</x:v>
      </x:c>
      <x:c r="AX68" s="28" t="n">
        <x:f>IF($B68="head",$D68,IF($C68="head",$E68,'參數'!$C$29))*IF($B68="wage",$D68,IF($C68="wage",$E68,'參數'!$C$30))</x:f>
        <x:v>0.22</x:v>
      </x:c>
      <x:c r="AY68" s="28" t="n">
        <x:f>IF($B68="opex",$D68,IF($C68="opex",$E68,'參數'!$C$31))</x:f>
        <x:v>0.23</x:v>
      </x:c>
      <x:c r="AZ68" s="28" t="n">
        <x:f>AX68+AY68</x:f>
        <x:v>0.45</x:v>
      </x:c>
      <x:c r="BA68" s="28" t="n">
        <x:f>AV68-AZ68</x:f>
        <x:v>1.1100000000000005</x:v>
      </x:c>
      <x:c r="BB68" s="28" t="n">
        <x:f>AM68*AK68</x:f>
        <x:v>1.0783561643835613</x:v>
      </x:c>
      <x:c r="BC68" s="28" t="n">
        <x:f>0</x:f>
        <x:v>0</x:v>
      </x:c>
      <x:c r="BD68" s="28" t="n">
        <x:f>MAX(0,BB68-MAX(0,AJ68))</x:f>
        <x:v>0.0783561643835613</x:v>
      </x:c>
      <x:c r="BE68" s="28" t="n">
        <x:f>(BC68+BD68)/2</x:f>
        <x:v>0.03917808219178065</x:v>
      </x:c>
      <x:c r="BF68" s="28" t="n">
        <x:f>BE68*IF($B68="rate",$D68,IF($C68="rate",$E68,'參數'!$C$34))</x:f>
        <x:v>0.001567123287671226</x:v>
      </x:c>
      <x:c r="BG68" s="28" t="n">
        <x:f>IF($B68="nonop",$D68,IF($C68="nonop",$E68,'參數'!$C$36))</x:f>
        <x:v>0.02</x:v>
      </x:c>
      <x:c r="BH68" s="28" t="n">
        <x:f>BA68+BG68-BF68</x:f>
        <x:v>1.1284328767123293</x:v>
      </x:c>
      <x:c r="BI68" s="28" t="n">
        <x:f>MAX(0,BH68)*IF($B68="tax",$D68,IF($C68="tax",$E68,'參數'!$C$35))</x:f>
        <x:v>0.22568657534246586</x:v>
      </x:c>
      <x:c r="BJ68" s="28" t="n">
        <x:f>BH68-BI68</x:f>
        <x:v>0.9027463013698634</x:v>
      </x:c>
      <x:c r="BK68" s="29" t="n">
        <x:f>IF(AM68=0,0,BJ68/AM68)</x:f>
        <x:v>0.09027463013698635</x:v>
      </x:c>
      <x:c r="BL68" s="28" t="n">
        <x:f>IF(BJ68&gt;=0,BJ68*IF($B68="retain",$D68,IF($C68="retain",$E68,'參數'!$C$38)),BJ68)</x:f>
        <x:v>0.4513731506849317</x:v>
      </x:c>
      <x:c r="BM68" s="28" t="n">
        <x:f>AJ68+BL68</x:f>
        <x:v>1.4513731506849317</x:v>
      </x:c>
      <x:c r="BN68" s="28" t="n">
        <x:f>MAX(0,AB68-AC68)</x:f>
        <x:v>0</x:v>
      </x:c>
      <x:c r="BO68" s="28" t="n">
        <x:f>MAX(0,MIN(AB68,AC68)-AM68)</x:f>
        <x:v>0</x:v>
      </x:c>
    </x:row>
    <x:row r="69" ht="24" customHeight="1">
      <x:c r="A69" s="2" t="str">
        <x:v>資管當年新約可交付率低端</x:v>
      </x:c>
      <x:c r="B69" s="2" t="str">
        <x:v>nowM</x:v>
      </x:c>
      <x:c r="C69" s="2" t="str"/>
      <x:c r="D69" s="11" t="n">
        <x:f>C10</x:f>
        <x:v>0.8</x:v>
      </x:c>
      <x:c r="E69" s="11" t="n">
        <x:f>0</x:f>
        <x:v>0</x:v>
      </x:c>
      <x:c r="F69" s="11" t="n">
        <x:f>'參數'!$C$47</x:f>
        <x:v>0</x:v>
      </x:c>
      <x:c r="G69" s="11" t="n">
        <x:f>'參數'!$C$48</x:f>
        <x:v>0</x:v>
      </x:c>
      <x:c r="H69" s="11" t="n">
        <x:f>'參數'!$C$49</x:f>
        <x:v>0</x:v>
      </x:c>
      <x:c r="I69" s="11" t="n">
        <x:f>F69+IF($B69="pE",$D69,IF($C69="pE",$E69,'參數'!$C$5))*IF($B69="scale",$D69,IF($C69="scale",$E69,'參數'!$C$8))</x:f>
        <x:v>10</x:v>
      </x:c>
      <x:c r="J69" s="11" t="n">
        <x:f>G69+IF($B69="pM",$D69,IF($C69="pM",$E69,'參數'!$C$6))*IF($B69="scale",$D69,IF($C69="scale",$E69,'參數'!$C$8))</x:f>
        <x:v>15</x:v>
      </x:c>
      <x:c r="K69" s="11" t="n">
        <x:f>H69+IF($B69="pA",$D69,IF($C69="pA",$E69,'參數'!$C$7))*IF($B69="scale",$D69,IF($C69="scale",$E69,'參數'!$C$8))</x:f>
        <x:v>50</x:v>
      </x:c>
      <x:c r="L69" s="11" t="n">
        <x:f>I69*IF($B69="winE",$D69,IF($C69="winE",$E69,'參數'!$C$9))</x:f>
        <x:v>4</x:v>
      </x:c>
      <x:c r="M69" s="28" t="n">
        <x:f>J69*IF($B69="winM",$D69,IF($C69="winM",$E69,'參數'!$C$10))</x:f>
        <x:v>6</x:v>
      </x:c>
      <x:c r="N69" s="28" t="n">
        <x:f>MIN(K69,IF($B69="readyA",$D69,IF($C69="readyA",$E69,'參數'!$C$11))*IF($B69="gateA",$D69,IF($C69="gateA",$E69,'參數'!$C$12)))</x:f>
        <x:v>10</x:v>
      </x:c>
      <x:c r="O69" s="28" t="n">
        <x:f>L69+M69+N69</x:f>
        <x:v>20</x:v>
      </x:c>
      <x:c r="P69" s="28" t="n">
        <x:f>(I69-L69)*IF($B69="attrition",$D69,IF($C69="attrition",$E69,'參數'!$C$13))</x:f>
        <x:v>1.2000000000000002</x:v>
      </x:c>
      <x:c r="Q69" s="28" t="n">
        <x:f>(J69-M69)*IF($B69="attrition",$D69,IF($C69="attrition",$E69,'參數'!$C$13))</x:f>
        <x:v>1.8</x:v>
      </x:c>
      <x:c r="R69" s="28" t="n">
        <x:f>(K69-N69)*IF($B69="attrition",$D69,IF($C69="attrition",$E69,'參數'!$C$13))</x:f>
        <x:v>8</x:v>
      </x:c>
      <x:c r="S69" s="28" t="n">
        <x:f>I69-L69-P69</x:f>
        <x:v>4.8</x:v>
      </x:c>
      <x:c r="T69" s="28" t="n">
        <x:f>J69-M69-Q69</x:f>
        <x:v>7.2</x:v>
      </x:c>
      <x:c r="U69" s="28" t="n">
        <x:f>K69-N69-R69</x:f>
        <x:v>32</x:v>
      </x:c>
      <x:c r="V69" s="28" t="n">
        <x:f>'參數'!$C$44</x:f>
        <x:v>0</x:v>
      </x:c>
      <x:c r="W69" s="28" t="n">
        <x:f>'參數'!$C$45</x:f>
        <x:v>0</x:v>
      </x:c>
      <x:c r="X69" s="28" t="n">
        <x:f>'參數'!$C$46</x:f>
        <x:v>0</x:v>
      </x:c>
      <x:c r="Y69" s="28" t="n">
        <x:f>V69*IF($B69="relE",$D69,IF($C69="relE",$E69,'參數'!$C$17))+L69*IF($B69="nowE",$D69,IF($C69="nowE",$E69,'參數'!$C$14))</x:f>
        <x:v>4</x:v>
      </x:c>
      <x:c r="Z69" s="28" t="n">
        <x:f>W69*IF($B69="relM",$D69,IF($C69="relM",$E69,'參數'!$C$18))+M69*IF($B69="nowM",$D69,IF($C69="nowM",$E69,'參數'!$C$15))</x:f>
        <x:v>4.800000000000001</x:v>
      </x:c>
      <x:c r="AA69" s="28" t="n">
        <x:f>X69*IF($B69="relA",$D69,IF($C69="relA",$E69,'參數'!$C$19))+N69*IF($B69="nowA",$D69,IF($C69="nowA",$E69,'參數'!$C$16))</x:f>
        <x:v>0</x:v>
      </x:c>
      <x:c r="AB69" s="28" t="n">
        <x:f>Y69+Z69+AA69</x:f>
        <x:v>8.8</x:v>
      </x:c>
      <x:c r="AC69" s="28" t="n">
        <x:f>IF($B69="capacity",$D69,IF($C69="capacity",$E69,'參數'!$C$20))</x:f>
        <x:v>10</x:v>
      </x:c>
      <x:c r="AD69" s="28" t="n">
        <x:f>IF(AC69=0,0,AB69/AC69)</x:f>
        <x:v>0.8800000000000001</x:v>
      </x:c>
      <x:c r="AE69" s="29" t="n">
        <x:f>MAX(0,AD69-1)*IF($B69="congestion",$D69,IF($C69="congestion",$E69,'參數'!$C$28))</x:f>
        <x:v>0</x:v>
      </x:c>
      <x:c r="AF69" s="29" t="n">
        <x:f>1-(1-(IF($B69="gmE",$D69,IF($C69="gmE",$E69,'參數'!$C$21))+IF($B69="shock",$D69,IF($C69="shock",$E69,'參數'!$C$26))))*(1+IF($B69="inflation",$D69,IF($C69="inflation",$E69,'參數'!$C$27)))-AE69</x:f>
        <x:v>0.12</x:v>
      </x:c>
      <x:c r="AG69" s="29" t="n">
        <x:f>1-(1-(IF($B69="gmM",$D69,IF($C69="gmM",$E69,'參數'!$C$22))+IF($B69="dev",$D69,IF($C69="dev",$E69,'參數'!$C$23))*IF($B69="devReal",$D69,IF($C69="devReal",$E69,'參數'!$C$24))+IF($B69="shock",$D69,IF($C69="shock",$E69,'參數'!$C$26))))*(1+IF($B69="inflation",$D69,IF($C69="inflation",$E69,'參數'!$C$27)))-AE69</x:f>
        <x:v>0.17999999999999994</x:v>
      </x:c>
      <x:c r="AH69" s="29" t="n">
        <x:f>1-(1-(IF($B69="gmA",$D69,IF($C69="gmA",$E69,'參數'!$C$25))+IF($B69="shock",$D69,IF($C69="shock",$E69,'參數'!$C$26))))*(1+IF($B69="inflation",$D69,IF($C69="inflation",$E69,'參數'!$C$27)))-AE69</x:f>
        <x:v>0.16000000000000003</x:v>
      </x:c>
      <x:c r="AI69" s="29" t="n">
        <x:f>IF(AB69=0,0,(Y69*AF69+Z69*AG69+AA69*AH69)/AB69)</x:f>
        <x:v>0.1527272727272727</x:v>
      </x:c>
      <x:c r="AJ69" s="28" t="n">
        <x:f>'參數'!$C$43</x:f>
        <x:v>1</x:v>
      </x:c>
      <x:c r="AK69" s="28" t="n">
        <x:f>MAX(0,(IF($B69="dso",$D69,IF($C69="dso",$E69,'參數'!$C$32))-(1-AI69)*IF($B69="dpo",$D69,IF($C69="dpo",$E69,'參數'!$C$33)))/365)</x:f>
        <x:v>0.10729763387297633</x:v>
      </x:c>
      <x:c r="AL69" s="28" t="n">
        <x:f>IF(AK69=0,AB69,(MAX(0,AJ69)+IF($B69="credit",$D69,IF($C69="credit",$E69,'參數'!$C$37)))/AK69)</x:f>
        <x:v>37.2794800371402</x:v>
      </x:c>
      <x:c r="AM69" s="28" t="n">
        <x:f>MIN(AB69,AC69,AL69)</x:f>
        <x:v>8.8</x:v>
      </x:c>
      <x:c r="AN69" s="28" t="n">
        <x:f>IF(AB69=0,0,AM69*Y69/AB69)</x:f>
        <x:v>4</x:v>
      </x:c>
      <x:c r="AO69" s="28" t="n">
        <x:f>IF(AB69=0,0,AM69*Z69/AB69)</x:f>
        <x:v>4.800000000000001</x:v>
      </x:c>
      <x:c r="AP69" s="28" t="n">
        <x:f>IF(AB69=0,0,AM69*AA69/AB69)</x:f>
        <x:v>0</x:v>
      </x:c>
      <x:c r="AQ69" s="28" t="n">
        <x:f>V69+L69-AN69</x:f>
        <x:v>0</x:v>
      </x:c>
      <x:c r="AR69" s="28" t="n">
        <x:f>W69+M69-AO69</x:f>
        <x:v>1.1999999999999993</x:v>
      </x:c>
      <x:c r="AS69" s="28" t="n">
        <x:f>X69+N69-AP69</x:f>
        <x:v>10</x:v>
      </x:c>
      <x:c r="AT69" s="28" t="n">
        <x:f>AQ69+AR69+AS69</x:f>
        <x:v>11.2</x:v>
      </x:c>
      <x:c r="AU69" s="28" t="n">
        <x:f>AN69*(1-AF69)+AO69*(1-AG69)+AP69*(1-AH69)</x:f>
        <x:v>7.456000000000001</x:v>
      </x:c>
      <x:c r="AV69" s="28" t="n">
        <x:f>AM69-AU69</x:f>
        <x:v>1.3439999999999994</x:v>
      </x:c>
      <x:c r="AW69" s="29" t="n">
        <x:f>IF(AM69=0,0,AV69/AM69)</x:f>
        <x:v>0.15272727272727266</x:v>
      </x:c>
      <x:c r="AX69" s="28" t="n">
        <x:f>IF($B69="head",$D69,IF($C69="head",$E69,'參數'!$C$29))*IF($B69="wage",$D69,IF($C69="wage",$E69,'參數'!$C$30))</x:f>
        <x:v>0.22</x:v>
      </x:c>
      <x:c r="AY69" s="28" t="n">
        <x:f>IF($B69="opex",$D69,IF($C69="opex",$E69,'參數'!$C$31))</x:f>
        <x:v>0.23</x:v>
      </x:c>
      <x:c r="AZ69" s="28" t="n">
        <x:f>AX69+AY69</x:f>
        <x:v>0.45</x:v>
      </x:c>
      <x:c r="BA69" s="28" t="n">
        <x:f>AV69-AZ69</x:f>
        <x:v>0.8939999999999995</x:v>
      </x:c>
      <x:c r="BB69" s="28" t="n">
        <x:f>AM69*AK69</x:f>
        <x:v>0.9442191780821918</x:v>
      </x:c>
      <x:c r="BC69" s="28" t="n">
        <x:f>0</x:f>
        <x:v>0</x:v>
      </x:c>
      <x:c r="BD69" s="28" t="n">
        <x:f>MAX(0,BB69-MAX(0,AJ69))</x:f>
        <x:v>0</x:v>
      </x:c>
      <x:c r="BE69" s="28" t="n">
        <x:f>(BC69+BD69)/2</x:f>
        <x:v>0</x:v>
      </x:c>
      <x:c r="BF69" s="28" t="n">
        <x:f>BE69*IF($B69="rate",$D69,IF($C69="rate",$E69,'參數'!$C$34))</x:f>
        <x:v>0</x:v>
      </x:c>
      <x:c r="BG69" s="28" t="n">
        <x:f>IF($B69="nonop",$D69,IF($C69="nonop",$E69,'參數'!$C$36))</x:f>
        <x:v>0.02</x:v>
      </x:c>
      <x:c r="BH69" s="28" t="n">
        <x:f>BA69+BG69-BF69</x:f>
        <x:v>0.9139999999999995</x:v>
      </x:c>
      <x:c r="BI69" s="28" t="n">
        <x:f>MAX(0,BH69)*IF($B69="tax",$D69,IF($C69="tax",$E69,'參數'!$C$35))</x:f>
        <x:v>0.1827999999999999</x:v>
      </x:c>
      <x:c r="BJ69" s="28" t="n">
        <x:f>BH69-BI69</x:f>
        <x:v>0.7311999999999996</x:v>
      </x:c>
      <x:c r="BK69" s="29" t="n">
        <x:f>IF(AM69=0,0,BJ69/AM69)</x:f>
        <x:v>0.08309090909090905</x:v>
      </x:c>
      <x:c r="BL69" s="28" t="n">
        <x:f>IF(BJ69&gt;=0,BJ69*IF($B69="retain",$D69,IF($C69="retain",$E69,'參數'!$C$38)),BJ69)</x:f>
        <x:v>0.3655999999999998</x:v>
      </x:c>
      <x:c r="BM69" s="28" t="n">
        <x:f>AJ69+BL69</x:f>
        <x:v>1.3655999999999997</x:v>
      </x:c>
      <x:c r="BN69" s="28" t="n">
        <x:f>MAX(0,AB69-AC69)</x:f>
        <x:v>0</x:v>
      </x:c>
      <x:c r="BO69" s="28" t="n">
        <x:f>MAX(0,MIN(AB69,AC69)-AM69)</x:f>
        <x:v>0</x:v>
      </x:c>
    </x:row>
    <x:row r="70" ht="24" customHeight="1">
      <x:c r="A70" s="2" t="str">
        <x:v>資管當年新約可交付率高端</x:v>
      </x:c>
      <x:c r="B70" s="2" t="str">
        <x:v>nowM</x:v>
      </x:c>
      <x:c r="C70" s="2" t="str"/>
      <x:c r="D70" s="11" t="n">
        <x:f>D10</x:f>
        <x:v>1</x:v>
      </x:c>
      <x:c r="E70" s="11" t="n">
        <x:f>0</x:f>
        <x:v>0</x:v>
      </x:c>
      <x:c r="F70" s="11" t="n">
        <x:f>'參數'!$C$47</x:f>
        <x:v>0</x:v>
      </x:c>
      <x:c r="G70" s="11" t="n">
        <x:f>'參數'!$C$48</x:f>
        <x:v>0</x:v>
      </x:c>
      <x:c r="H70" s="11" t="n">
        <x:f>'參數'!$C$49</x:f>
        <x:v>0</x:v>
      </x:c>
      <x:c r="I70" s="11" t="n">
        <x:f>F70+IF($B70="pE",$D70,IF($C70="pE",$E70,'參數'!$C$5))*IF($B70="scale",$D70,IF($C70="scale",$E70,'參數'!$C$8))</x:f>
        <x:v>10</x:v>
      </x:c>
      <x:c r="J70" s="11" t="n">
        <x:f>G70+IF($B70="pM",$D70,IF($C70="pM",$E70,'參數'!$C$6))*IF($B70="scale",$D70,IF($C70="scale",$E70,'參數'!$C$8))</x:f>
        <x:v>15</x:v>
      </x:c>
      <x:c r="K70" s="11" t="n">
        <x:f>H70+IF($B70="pA",$D70,IF($C70="pA",$E70,'參數'!$C$7))*IF($B70="scale",$D70,IF($C70="scale",$E70,'參數'!$C$8))</x:f>
        <x:v>50</x:v>
      </x:c>
      <x:c r="L70" s="11" t="n">
        <x:f>I70*IF($B70="winE",$D70,IF($C70="winE",$E70,'參數'!$C$9))</x:f>
        <x:v>4</x:v>
      </x:c>
      <x:c r="M70" s="28" t="n">
        <x:f>J70*IF($B70="winM",$D70,IF($C70="winM",$E70,'參數'!$C$10))</x:f>
        <x:v>6</x:v>
      </x:c>
      <x:c r="N70" s="28" t="n">
        <x:f>MIN(K70,IF($B70="readyA",$D70,IF($C70="readyA",$E70,'參數'!$C$11))*IF($B70="gateA",$D70,IF($C70="gateA",$E70,'參數'!$C$12)))</x:f>
        <x:v>10</x:v>
      </x:c>
      <x:c r="O70" s="28" t="n">
        <x:f>L70+M70+N70</x:f>
        <x:v>20</x:v>
      </x:c>
      <x:c r="P70" s="28" t="n">
        <x:f>(I70-L70)*IF($B70="attrition",$D70,IF($C70="attrition",$E70,'參數'!$C$13))</x:f>
        <x:v>1.2000000000000002</x:v>
      </x:c>
      <x:c r="Q70" s="28" t="n">
        <x:f>(J70-M70)*IF($B70="attrition",$D70,IF($C70="attrition",$E70,'參數'!$C$13))</x:f>
        <x:v>1.8</x:v>
      </x:c>
      <x:c r="R70" s="28" t="n">
        <x:f>(K70-N70)*IF($B70="attrition",$D70,IF($C70="attrition",$E70,'參數'!$C$13))</x:f>
        <x:v>8</x:v>
      </x:c>
      <x:c r="S70" s="28" t="n">
        <x:f>I70-L70-P70</x:f>
        <x:v>4.8</x:v>
      </x:c>
      <x:c r="T70" s="28" t="n">
        <x:f>J70-M70-Q70</x:f>
        <x:v>7.2</x:v>
      </x:c>
      <x:c r="U70" s="28" t="n">
        <x:f>K70-N70-R70</x:f>
        <x:v>32</x:v>
      </x:c>
      <x:c r="V70" s="28" t="n">
        <x:f>'參數'!$C$44</x:f>
        <x:v>0</x:v>
      </x:c>
      <x:c r="W70" s="28" t="n">
        <x:f>'參數'!$C$45</x:f>
        <x:v>0</x:v>
      </x:c>
      <x:c r="X70" s="28" t="n">
        <x:f>'參數'!$C$46</x:f>
        <x:v>0</x:v>
      </x:c>
      <x:c r="Y70" s="28" t="n">
        <x:f>V70*IF($B70="relE",$D70,IF($C70="relE",$E70,'參數'!$C$17))+L70*IF($B70="nowE",$D70,IF($C70="nowE",$E70,'參數'!$C$14))</x:f>
        <x:v>4</x:v>
      </x:c>
      <x:c r="Z70" s="28" t="n">
        <x:f>W70*IF($B70="relM",$D70,IF($C70="relM",$E70,'參數'!$C$18))+M70*IF($B70="nowM",$D70,IF($C70="nowM",$E70,'參數'!$C$15))</x:f>
        <x:v>6</x:v>
      </x:c>
      <x:c r="AA70" s="28" t="n">
        <x:f>X70*IF($B70="relA",$D70,IF($C70="relA",$E70,'參數'!$C$19))+N70*IF($B70="nowA",$D70,IF($C70="nowA",$E70,'參數'!$C$16))</x:f>
        <x:v>0</x:v>
      </x:c>
      <x:c r="AB70" s="28" t="n">
        <x:f>Y70+Z70+AA70</x:f>
        <x:v>10</x:v>
      </x:c>
      <x:c r="AC70" s="28" t="n">
        <x:f>IF($B70="capacity",$D70,IF($C70="capacity",$E70,'參數'!$C$20))</x:f>
        <x:v>10</x:v>
      </x:c>
      <x:c r="AD70" s="28" t="n">
        <x:f>IF(AC70=0,0,AB70/AC70)</x:f>
        <x:v>1</x:v>
      </x:c>
      <x:c r="AE70" s="29" t="n">
        <x:f>MAX(0,AD70-1)*IF($B70="congestion",$D70,IF($C70="congestion",$E70,'參數'!$C$28))</x:f>
        <x:v>0</x:v>
      </x:c>
      <x:c r="AF70" s="29" t="n">
        <x:f>1-(1-(IF($B70="gmE",$D70,IF($C70="gmE",$E70,'參數'!$C$21))+IF($B70="shock",$D70,IF($C70="shock",$E70,'參數'!$C$26))))*(1+IF($B70="inflation",$D70,IF($C70="inflation",$E70,'參數'!$C$27)))-AE70</x:f>
        <x:v>0.12</x:v>
      </x:c>
      <x:c r="AG70" s="29" t="n">
        <x:f>1-(1-(IF($B70="gmM",$D70,IF($C70="gmM",$E70,'參數'!$C$22))+IF($B70="dev",$D70,IF($C70="dev",$E70,'參數'!$C$23))*IF($B70="devReal",$D70,IF($C70="devReal",$E70,'參數'!$C$24))+IF($B70="shock",$D70,IF($C70="shock",$E70,'參數'!$C$26))))*(1+IF($B70="inflation",$D70,IF($C70="inflation",$E70,'參數'!$C$27)))-AE70</x:f>
        <x:v>0.17999999999999994</x:v>
      </x:c>
      <x:c r="AH70" s="29" t="n">
        <x:f>1-(1-(IF($B70="gmA",$D70,IF($C70="gmA",$E70,'參數'!$C$25))+IF($B70="shock",$D70,IF($C70="shock",$E70,'參數'!$C$26))))*(1+IF($B70="inflation",$D70,IF($C70="inflation",$E70,'參數'!$C$27)))-AE70</x:f>
        <x:v>0.16000000000000003</x:v>
      </x:c>
      <x:c r="AI70" s="29" t="n">
        <x:f>IF(AB70=0,0,(Y70*AF70+Z70*AG70+AA70*AH70)/AB70)</x:f>
        <x:v>0.15599999999999997</x:v>
      </x:c>
      <x:c r="AJ70" s="28" t="n">
        <x:f>'參數'!$C$43</x:f>
        <x:v>1</x:v>
      </x:c>
      <x:c r="AK70" s="28" t="n">
        <x:f>MAX(0,(IF($B70="dso",$D70,IF($C70="dso",$E70,'參數'!$C$32))-(1-AI70)*IF($B70="dpo",$D70,IF($C70="dpo",$E70,'參數'!$C$33)))/365)</x:f>
        <x:v>0.10783561643835614</x:v>
      </x:c>
      <x:c r="AL70" s="28" t="n">
        <x:f>IF(AK70=0,AB70,(MAX(0,AJ70)+IF($B70="credit",$D70,IF($C70="credit",$E70,'參數'!$C$37)))/AK70)</x:f>
        <x:v>37.09349593495936</x:v>
      </x:c>
      <x:c r="AM70" s="28" t="n">
        <x:f>MIN(AB70,AC70,AL70)</x:f>
        <x:v>10</x:v>
      </x:c>
      <x:c r="AN70" s="28" t="n">
        <x:f>IF(AB70=0,0,AM70*Y70/AB70)</x:f>
        <x:v>4</x:v>
      </x:c>
      <x:c r="AO70" s="28" t="n">
        <x:f>IF(AB70=0,0,AM70*Z70/AB70)</x:f>
        <x:v>6</x:v>
      </x:c>
      <x:c r="AP70" s="28" t="n">
        <x:f>IF(AB70=0,0,AM70*AA70/AB70)</x:f>
        <x:v>0</x:v>
      </x:c>
      <x:c r="AQ70" s="28" t="n">
        <x:f>V70+L70-AN70</x:f>
        <x:v>0</x:v>
      </x:c>
      <x:c r="AR70" s="28" t="n">
        <x:f>W70+M70-AO70</x:f>
        <x:v>0</x:v>
      </x:c>
      <x:c r="AS70" s="28" t="n">
        <x:f>X70+N70-AP70</x:f>
        <x:v>10</x:v>
      </x:c>
      <x:c r="AT70" s="28" t="n">
        <x:f>AQ70+AR70+AS70</x:f>
        <x:v>10</x:v>
      </x:c>
      <x:c r="AU70" s="28" t="n">
        <x:f>AN70*(1-AF70)+AO70*(1-AG70)+AP70*(1-AH70)</x:f>
        <x:v>8.44</x:v>
      </x:c>
      <x:c r="AV70" s="28" t="n">
        <x:f>AM70-AU70</x:f>
        <x:v>1.5600000000000005</x:v>
      </x:c>
      <x:c r="AW70" s="29" t="n">
        <x:f>IF(AM70=0,0,AV70/AM70)</x:f>
        <x:v>0.15600000000000006</x:v>
      </x:c>
      <x:c r="AX70" s="28" t="n">
        <x:f>IF($B70="head",$D70,IF($C70="head",$E70,'參數'!$C$29))*IF($B70="wage",$D70,IF($C70="wage",$E70,'參數'!$C$30))</x:f>
        <x:v>0.22</x:v>
      </x:c>
      <x:c r="AY70" s="28" t="n">
        <x:f>IF($B70="opex",$D70,IF($C70="opex",$E70,'參數'!$C$31))</x:f>
        <x:v>0.23</x:v>
      </x:c>
      <x:c r="AZ70" s="28" t="n">
        <x:f>AX70+AY70</x:f>
        <x:v>0.45</x:v>
      </x:c>
      <x:c r="BA70" s="28" t="n">
        <x:f>AV70-AZ70</x:f>
        <x:v>1.1100000000000005</x:v>
      </x:c>
      <x:c r="BB70" s="28" t="n">
        <x:f>AM70*AK70</x:f>
        <x:v>1.0783561643835613</x:v>
      </x:c>
      <x:c r="BC70" s="28" t="n">
        <x:f>0</x:f>
        <x:v>0</x:v>
      </x:c>
      <x:c r="BD70" s="28" t="n">
        <x:f>MAX(0,BB70-MAX(0,AJ70))</x:f>
        <x:v>0.0783561643835613</x:v>
      </x:c>
      <x:c r="BE70" s="28" t="n">
        <x:f>(BC70+BD70)/2</x:f>
        <x:v>0.03917808219178065</x:v>
      </x:c>
      <x:c r="BF70" s="28" t="n">
        <x:f>BE70*IF($B70="rate",$D70,IF($C70="rate",$E70,'參數'!$C$34))</x:f>
        <x:v>0.001567123287671226</x:v>
      </x:c>
      <x:c r="BG70" s="28" t="n">
        <x:f>IF($B70="nonop",$D70,IF($C70="nonop",$E70,'參數'!$C$36))</x:f>
        <x:v>0.02</x:v>
      </x:c>
      <x:c r="BH70" s="28" t="n">
        <x:f>BA70+BG70-BF70</x:f>
        <x:v>1.1284328767123293</x:v>
      </x:c>
      <x:c r="BI70" s="28" t="n">
        <x:f>MAX(0,BH70)*IF($B70="tax",$D70,IF($C70="tax",$E70,'參數'!$C$35))</x:f>
        <x:v>0.22568657534246586</x:v>
      </x:c>
      <x:c r="BJ70" s="28" t="n">
        <x:f>BH70-BI70</x:f>
        <x:v>0.9027463013698634</x:v>
      </x:c>
      <x:c r="BK70" s="29" t="n">
        <x:f>IF(AM70=0,0,BJ70/AM70)</x:f>
        <x:v>0.09027463013698635</x:v>
      </x:c>
      <x:c r="BL70" s="28" t="n">
        <x:f>IF(BJ70&gt;=0,BJ70*IF($B70="retain",$D70,IF($C70="retain",$E70,'參數'!$C$38)),BJ70)</x:f>
        <x:v>0.4513731506849317</x:v>
      </x:c>
      <x:c r="BM70" s="28" t="n">
        <x:f>AJ70+BL70</x:f>
        <x:v>1.4513731506849317</x:v>
      </x:c>
      <x:c r="BN70" s="28" t="n">
        <x:f>MAX(0,AB70-AC70)</x:f>
        <x:v>0</x:v>
      </x:c>
      <x:c r="BO70" s="28" t="n">
        <x:f>MAX(0,MIN(AB70,AC70)-AM70)</x:f>
        <x:v>0</x:v>
      </x:c>
    </x:row>
    <x:row r="71" ht="24" customHeight="1">
      <x:c r="A71" s="2" t="str">
        <x:v>AIDC期初訂單釋放率低端</x:v>
      </x:c>
      <x:c r="B71" s="2" t="str">
        <x:v>relA</x:v>
      </x:c>
      <x:c r="C71" s="2" t="str"/>
      <x:c r="D71" s="11" t="n">
        <x:f>C11</x:f>
        <x:v>0.25</x:v>
      </x:c>
      <x:c r="E71" s="11" t="n">
        <x:f>0</x:f>
        <x:v>0</x:v>
      </x:c>
      <x:c r="F71" s="11" t="n">
        <x:f>'參數'!$C$47</x:f>
        <x:v>0</x:v>
      </x:c>
      <x:c r="G71" s="11" t="n">
        <x:f>'參數'!$C$48</x:f>
        <x:v>0</x:v>
      </x:c>
      <x:c r="H71" s="11" t="n">
        <x:f>'參數'!$C$49</x:f>
        <x:v>0</x:v>
      </x:c>
      <x:c r="I71" s="11" t="n">
        <x:f>F71+IF($B71="pE",$D71,IF($C71="pE",$E71,'參數'!$C$5))*IF($B71="scale",$D71,IF($C71="scale",$E71,'參數'!$C$8))</x:f>
        <x:v>10</x:v>
      </x:c>
      <x:c r="J71" s="11" t="n">
        <x:f>G71+IF($B71="pM",$D71,IF($C71="pM",$E71,'參數'!$C$6))*IF($B71="scale",$D71,IF($C71="scale",$E71,'參數'!$C$8))</x:f>
        <x:v>15</x:v>
      </x:c>
      <x:c r="K71" s="11" t="n">
        <x:f>H71+IF($B71="pA",$D71,IF($C71="pA",$E71,'參數'!$C$7))*IF($B71="scale",$D71,IF($C71="scale",$E71,'參數'!$C$8))</x:f>
        <x:v>50</x:v>
      </x:c>
      <x:c r="L71" s="11" t="n">
        <x:f>I71*IF($B71="winE",$D71,IF($C71="winE",$E71,'參數'!$C$9))</x:f>
        <x:v>4</x:v>
      </x:c>
      <x:c r="M71" s="28" t="n">
        <x:f>J71*IF($B71="winM",$D71,IF($C71="winM",$E71,'參數'!$C$10))</x:f>
        <x:v>6</x:v>
      </x:c>
      <x:c r="N71" s="28" t="n">
        <x:f>MIN(K71,IF($B71="readyA",$D71,IF($C71="readyA",$E71,'參數'!$C$11))*IF($B71="gateA",$D71,IF($C71="gateA",$E71,'參數'!$C$12)))</x:f>
        <x:v>10</x:v>
      </x:c>
      <x:c r="O71" s="28" t="n">
        <x:f>L71+M71+N71</x:f>
        <x:v>20</x:v>
      </x:c>
      <x:c r="P71" s="28" t="n">
        <x:f>(I71-L71)*IF($B71="attrition",$D71,IF($C71="attrition",$E71,'參數'!$C$13))</x:f>
        <x:v>1.2000000000000002</x:v>
      </x:c>
      <x:c r="Q71" s="28" t="n">
        <x:f>(J71-M71)*IF($B71="attrition",$D71,IF($C71="attrition",$E71,'參數'!$C$13))</x:f>
        <x:v>1.8</x:v>
      </x:c>
      <x:c r="R71" s="28" t="n">
        <x:f>(K71-N71)*IF($B71="attrition",$D71,IF($C71="attrition",$E71,'參數'!$C$13))</x:f>
        <x:v>8</x:v>
      </x:c>
      <x:c r="S71" s="28" t="n">
        <x:f>I71-L71-P71</x:f>
        <x:v>4.8</x:v>
      </x:c>
      <x:c r="T71" s="28" t="n">
        <x:f>J71-M71-Q71</x:f>
        <x:v>7.2</x:v>
      </x:c>
      <x:c r="U71" s="28" t="n">
        <x:f>K71-N71-R71</x:f>
        <x:v>32</x:v>
      </x:c>
      <x:c r="V71" s="28" t="n">
        <x:f>'參數'!$C$44</x:f>
        <x:v>0</x:v>
      </x:c>
      <x:c r="W71" s="28" t="n">
        <x:f>'參數'!$C$45</x:f>
        <x:v>0</x:v>
      </x:c>
      <x:c r="X71" s="28" t="n">
        <x:f>'參數'!$C$46</x:f>
        <x:v>0</x:v>
      </x:c>
      <x:c r="Y71" s="28" t="n">
        <x:f>V71*IF($B71="relE",$D71,IF($C71="relE",$E71,'參數'!$C$17))+L71*IF($B71="nowE",$D71,IF($C71="nowE",$E71,'參數'!$C$14))</x:f>
        <x:v>4</x:v>
      </x:c>
      <x:c r="Z71" s="28" t="n">
        <x:f>W71*IF($B71="relM",$D71,IF($C71="relM",$E71,'參數'!$C$18))+M71*IF($B71="nowM",$D71,IF($C71="nowM",$E71,'參數'!$C$15))</x:f>
        <x:v>6</x:v>
      </x:c>
      <x:c r="AA71" s="28" t="n">
        <x:f>X71*IF($B71="relA",$D71,IF($C71="relA",$E71,'參數'!$C$19))+N71*IF($B71="nowA",$D71,IF($C71="nowA",$E71,'參數'!$C$16))</x:f>
        <x:v>0</x:v>
      </x:c>
      <x:c r="AB71" s="28" t="n">
        <x:f>Y71+Z71+AA71</x:f>
        <x:v>10</x:v>
      </x:c>
      <x:c r="AC71" s="28" t="n">
        <x:f>IF($B71="capacity",$D71,IF($C71="capacity",$E71,'參數'!$C$20))</x:f>
        <x:v>10</x:v>
      </x:c>
      <x:c r="AD71" s="28" t="n">
        <x:f>IF(AC71=0,0,AB71/AC71)</x:f>
        <x:v>1</x:v>
      </x:c>
      <x:c r="AE71" s="29" t="n">
        <x:f>MAX(0,AD71-1)*IF($B71="congestion",$D71,IF($C71="congestion",$E71,'參數'!$C$28))</x:f>
        <x:v>0</x:v>
      </x:c>
      <x:c r="AF71" s="29" t="n">
        <x:f>1-(1-(IF($B71="gmE",$D71,IF($C71="gmE",$E71,'參數'!$C$21))+IF($B71="shock",$D71,IF($C71="shock",$E71,'參數'!$C$26))))*(1+IF($B71="inflation",$D71,IF($C71="inflation",$E71,'參數'!$C$27)))-AE71</x:f>
        <x:v>0.12</x:v>
      </x:c>
      <x:c r="AG71" s="29" t="n">
        <x:f>1-(1-(IF($B71="gmM",$D71,IF($C71="gmM",$E71,'參數'!$C$22))+IF($B71="dev",$D71,IF($C71="dev",$E71,'參數'!$C$23))*IF($B71="devReal",$D71,IF($C71="devReal",$E71,'參數'!$C$24))+IF($B71="shock",$D71,IF($C71="shock",$E71,'參數'!$C$26))))*(1+IF($B71="inflation",$D71,IF($C71="inflation",$E71,'參數'!$C$27)))-AE71</x:f>
        <x:v>0.17999999999999994</x:v>
      </x:c>
      <x:c r="AH71" s="29" t="n">
        <x:f>1-(1-(IF($B71="gmA",$D71,IF($C71="gmA",$E71,'參數'!$C$25))+IF($B71="shock",$D71,IF($C71="shock",$E71,'參數'!$C$26))))*(1+IF($B71="inflation",$D71,IF($C71="inflation",$E71,'參數'!$C$27)))-AE71</x:f>
        <x:v>0.16000000000000003</x:v>
      </x:c>
      <x:c r="AI71" s="29" t="n">
        <x:f>IF(AB71=0,0,(Y71*AF71+Z71*AG71+AA71*AH71)/AB71)</x:f>
        <x:v>0.15599999999999997</x:v>
      </x:c>
      <x:c r="AJ71" s="28" t="n">
        <x:f>'參數'!$C$43</x:f>
        <x:v>1</x:v>
      </x:c>
      <x:c r="AK71" s="28" t="n">
        <x:f>MAX(0,(IF($B71="dso",$D71,IF($C71="dso",$E71,'參數'!$C$32))-(1-AI71)*IF($B71="dpo",$D71,IF($C71="dpo",$E71,'參數'!$C$33)))/365)</x:f>
        <x:v>0.10783561643835614</x:v>
      </x:c>
      <x:c r="AL71" s="28" t="n">
        <x:f>IF(AK71=0,AB71,(MAX(0,AJ71)+IF($B71="credit",$D71,IF($C71="credit",$E71,'參數'!$C$37)))/AK71)</x:f>
        <x:v>37.09349593495936</x:v>
      </x:c>
      <x:c r="AM71" s="28" t="n">
        <x:f>MIN(AB71,AC71,AL71)</x:f>
        <x:v>10</x:v>
      </x:c>
      <x:c r="AN71" s="28" t="n">
        <x:f>IF(AB71=0,0,AM71*Y71/AB71)</x:f>
        <x:v>4</x:v>
      </x:c>
      <x:c r="AO71" s="28" t="n">
        <x:f>IF(AB71=0,0,AM71*Z71/AB71)</x:f>
        <x:v>6</x:v>
      </x:c>
      <x:c r="AP71" s="28" t="n">
        <x:f>IF(AB71=0,0,AM71*AA71/AB71)</x:f>
        <x:v>0</x:v>
      </x:c>
      <x:c r="AQ71" s="28" t="n">
        <x:f>V71+L71-AN71</x:f>
        <x:v>0</x:v>
      </x:c>
      <x:c r="AR71" s="28" t="n">
        <x:f>W71+M71-AO71</x:f>
        <x:v>0</x:v>
      </x:c>
      <x:c r="AS71" s="28" t="n">
        <x:f>X71+N71-AP71</x:f>
        <x:v>10</x:v>
      </x:c>
      <x:c r="AT71" s="28" t="n">
        <x:f>AQ71+AR71+AS71</x:f>
        <x:v>10</x:v>
      </x:c>
      <x:c r="AU71" s="28" t="n">
        <x:f>AN71*(1-AF71)+AO71*(1-AG71)+AP71*(1-AH71)</x:f>
        <x:v>8.44</x:v>
      </x:c>
      <x:c r="AV71" s="28" t="n">
        <x:f>AM71-AU71</x:f>
        <x:v>1.5600000000000005</x:v>
      </x:c>
      <x:c r="AW71" s="29" t="n">
        <x:f>IF(AM71=0,0,AV71/AM71)</x:f>
        <x:v>0.15600000000000006</x:v>
      </x:c>
      <x:c r="AX71" s="28" t="n">
        <x:f>IF($B71="head",$D71,IF($C71="head",$E71,'參數'!$C$29))*IF($B71="wage",$D71,IF($C71="wage",$E71,'參數'!$C$30))</x:f>
        <x:v>0.22</x:v>
      </x:c>
      <x:c r="AY71" s="28" t="n">
        <x:f>IF($B71="opex",$D71,IF($C71="opex",$E71,'參數'!$C$31))</x:f>
        <x:v>0.23</x:v>
      </x:c>
      <x:c r="AZ71" s="28" t="n">
        <x:f>AX71+AY71</x:f>
        <x:v>0.45</x:v>
      </x:c>
      <x:c r="BA71" s="28" t="n">
        <x:f>AV71-AZ71</x:f>
        <x:v>1.1100000000000005</x:v>
      </x:c>
      <x:c r="BB71" s="28" t="n">
        <x:f>AM71*AK71</x:f>
        <x:v>1.0783561643835613</x:v>
      </x:c>
      <x:c r="BC71" s="28" t="n">
        <x:f>0</x:f>
        <x:v>0</x:v>
      </x:c>
      <x:c r="BD71" s="28" t="n">
        <x:f>MAX(0,BB71-MAX(0,AJ71))</x:f>
        <x:v>0.0783561643835613</x:v>
      </x:c>
      <x:c r="BE71" s="28" t="n">
        <x:f>(BC71+BD71)/2</x:f>
        <x:v>0.03917808219178065</x:v>
      </x:c>
      <x:c r="BF71" s="28" t="n">
        <x:f>BE71*IF($B71="rate",$D71,IF($C71="rate",$E71,'參數'!$C$34))</x:f>
        <x:v>0.001567123287671226</x:v>
      </x:c>
      <x:c r="BG71" s="28" t="n">
        <x:f>IF($B71="nonop",$D71,IF($C71="nonop",$E71,'參數'!$C$36))</x:f>
        <x:v>0.02</x:v>
      </x:c>
      <x:c r="BH71" s="28" t="n">
        <x:f>BA71+BG71-BF71</x:f>
        <x:v>1.1284328767123293</x:v>
      </x:c>
      <x:c r="BI71" s="28" t="n">
        <x:f>MAX(0,BH71)*IF($B71="tax",$D71,IF($C71="tax",$E71,'參數'!$C$35))</x:f>
        <x:v>0.22568657534246586</x:v>
      </x:c>
      <x:c r="BJ71" s="28" t="n">
        <x:f>BH71-BI71</x:f>
        <x:v>0.9027463013698634</x:v>
      </x:c>
      <x:c r="BK71" s="29" t="n">
        <x:f>IF(AM71=0,0,BJ71/AM71)</x:f>
        <x:v>0.09027463013698635</x:v>
      </x:c>
      <x:c r="BL71" s="28" t="n">
        <x:f>IF(BJ71&gt;=0,BJ71*IF($B71="retain",$D71,IF($C71="retain",$E71,'參數'!$C$38)),BJ71)</x:f>
        <x:v>0.4513731506849317</x:v>
      </x:c>
      <x:c r="BM71" s="28" t="n">
        <x:f>AJ71+BL71</x:f>
        <x:v>1.4513731506849317</x:v>
      </x:c>
      <x:c r="BN71" s="28" t="n">
        <x:f>MAX(0,AB71-AC71)</x:f>
        <x:v>0</x:v>
      </x:c>
      <x:c r="BO71" s="28" t="n">
        <x:f>MAX(0,MIN(AB71,AC71)-AM71)</x:f>
        <x:v>0</x:v>
      </x:c>
    </x:row>
    <x:row r="72" ht="24" customHeight="1">
      <x:c r="A72" s="2" t="str">
        <x:v>AIDC期初訂單釋放率高端</x:v>
      </x:c>
      <x:c r="B72" s="2" t="str">
        <x:v>relA</x:v>
      </x:c>
      <x:c r="C72" s="2" t="str"/>
      <x:c r="D72" s="11" t="n">
        <x:f>D11</x:f>
        <x:v>0.75</x:v>
      </x:c>
      <x:c r="E72" s="11" t="n">
        <x:f>0</x:f>
        <x:v>0</x:v>
      </x:c>
      <x:c r="F72" s="11" t="n">
        <x:f>'參數'!$C$47</x:f>
        <x:v>0</x:v>
      </x:c>
      <x:c r="G72" s="11" t="n">
        <x:f>'參數'!$C$48</x:f>
        <x:v>0</x:v>
      </x:c>
      <x:c r="H72" s="11" t="n">
        <x:f>'參數'!$C$49</x:f>
        <x:v>0</x:v>
      </x:c>
      <x:c r="I72" s="11" t="n">
        <x:f>F72+IF($B72="pE",$D72,IF($C72="pE",$E72,'參數'!$C$5))*IF($B72="scale",$D72,IF($C72="scale",$E72,'參數'!$C$8))</x:f>
        <x:v>10</x:v>
      </x:c>
      <x:c r="J72" s="11" t="n">
        <x:f>G72+IF($B72="pM",$D72,IF($C72="pM",$E72,'參數'!$C$6))*IF($B72="scale",$D72,IF($C72="scale",$E72,'參數'!$C$8))</x:f>
        <x:v>15</x:v>
      </x:c>
      <x:c r="K72" s="11" t="n">
        <x:f>H72+IF($B72="pA",$D72,IF($C72="pA",$E72,'參數'!$C$7))*IF($B72="scale",$D72,IF($C72="scale",$E72,'參數'!$C$8))</x:f>
        <x:v>50</x:v>
      </x:c>
      <x:c r="L72" s="11" t="n">
        <x:f>I72*IF($B72="winE",$D72,IF($C72="winE",$E72,'參數'!$C$9))</x:f>
        <x:v>4</x:v>
      </x:c>
      <x:c r="M72" s="28" t="n">
        <x:f>J72*IF($B72="winM",$D72,IF($C72="winM",$E72,'參數'!$C$10))</x:f>
        <x:v>6</x:v>
      </x:c>
      <x:c r="N72" s="28" t="n">
        <x:f>MIN(K72,IF($B72="readyA",$D72,IF($C72="readyA",$E72,'參數'!$C$11))*IF($B72="gateA",$D72,IF($C72="gateA",$E72,'參數'!$C$12)))</x:f>
        <x:v>10</x:v>
      </x:c>
      <x:c r="O72" s="28" t="n">
        <x:f>L72+M72+N72</x:f>
        <x:v>20</x:v>
      </x:c>
      <x:c r="P72" s="28" t="n">
        <x:f>(I72-L72)*IF($B72="attrition",$D72,IF($C72="attrition",$E72,'參數'!$C$13))</x:f>
        <x:v>1.2000000000000002</x:v>
      </x:c>
      <x:c r="Q72" s="28" t="n">
        <x:f>(J72-M72)*IF($B72="attrition",$D72,IF($C72="attrition",$E72,'參數'!$C$13))</x:f>
        <x:v>1.8</x:v>
      </x:c>
      <x:c r="R72" s="28" t="n">
        <x:f>(K72-N72)*IF($B72="attrition",$D72,IF($C72="attrition",$E72,'參數'!$C$13))</x:f>
        <x:v>8</x:v>
      </x:c>
      <x:c r="S72" s="28" t="n">
        <x:f>I72-L72-P72</x:f>
        <x:v>4.8</x:v>
      </x:c>
      <x:c r="T72" s="28" t="n">
        <x:f>J72-M72-Q72</x:f>
        <x:v>7.2</x:v>
      </x:c>
      <x:c r="U72" s="28" t="n">
        <x:f>K72-N72-R72</x:f>
        <x:v>32</x:v>
      </x:c>
      <x:c r="V72" s="28" t="n">
        <x:f>'參數'!$C$44</x:f>
        <x:v>0</x:v>
      </x:c>
      <x:c r="W72" s="28" t="n">
        <x:f>'參數'!$C$45</x:f>
        <x:v>0</x:v>
      </x:c>
      <x:c r="X72" s="28" t="n">
        <x:f>'參數'!$C$46</x:f>
        <x:v>0</x:v>
      </x:c>
      <x:c r="Y72" s="28" t="n">
        <x:f>V72*IF($B72="relE",$D72,IF($C72="relE",$E72,'參數'!$C$17))+L72*IF($B72="nowE",$D72,IF($C72="nowE",$E72,'參數'!$C$14))</x:f>
        <x:v>4</x:v>
      </x:c>
      <x:c r="Z72" s="28" t="n">
        <x:f>W72*IF($B72="relM",$D72,IF($C72="relM",$E72,'參數'!$C$18))+M72*IF($B72="nowM",$D72,IF($C72="nowM",$E72,'參數'!$C$15))</x:f>
        <x:v>6</x:v>
      </x:c>
      <x:c r="AA72" s="28" t="n">
        <x:f>X72*IF($B72="relA",$D72,IF($C72="relA",$E72,'參數'!$C$19))+N72*IF($B72="nowA",$D72,IF($C72="nowA",$E72,'參數'!$C$16))</x:f>
        <x:v>0</x:v>
      </x:c>
      <x:c r="AB72" s="28" t="n">
        <x:f>Y72+Z72+AA72</x:f>
        <x:v>10</x:v>
      </x:c>
      <x:c r="AC72" s="28" t="n">
        <x:f>IF($B72="capacity",$D72,IF($C72="capacity",$E72,'參數'!$C$20))</x:f>
        <x:v>10</x:v>
      </x:c>
      <x:c r="AD72" s="28" t="n">
        <x:f>IF(AC72=0,0,AB72/AC72)</x:f>
        <x:v>1</x:v>
      </x:c>
      <x:c r="AE72" s="29" t="n">
        <x:f>MAX(0,AD72-1)*IF($B72="congestion",$D72,IF($C72="congestion",$E72,'參數'!$C$28))</x:f>
        <x:v>0</x:v>
      </x:c>
      <x:c r="AF72" s="29" t="n">
        <x:f>1-(1-(IF($B72="gmE",$D72,IF($C72="gmE",$E72,'參數'!$C$21))+IF($B72="shock",$D72,IF($C72="shock",$E72,'參數'!$C$26))))*(1+IF($B72="inflation",$D72,IF($C72="inflation",$E72,'參數'!$C$27)))-AE72</x:f>
        <x:v>0.12</x:v>
      </x:c>
      <x:c r="AG72" s="29" t="n">
        <x:f>1-(1-(IF($B72="gmM",$D72,IF($C72="gmM",$E72,'參數'!$C$22))+IF($B72="dev",$D72,IF($C72="dev",$E72,'參數'!$C$23))*IF($B72="devReal",$D72,IF($C72="devReal",$E72,'參數'!$C$24))+IF($B72="shock",$D72,IF($C72="shock",$E72,'參數'!$C$26))))*(1+IF($B72="inflation",$D72,IF($C72="inflation",$E72,'參數'!$C$27)))-AE72</x:f>
        <x:v>0.17999999999999994</x:v>
      </x:c>
      <x:c r="AH72" s="29" t="n">
        <x:f>1-(1-(IF($B72="gmA",$D72,IF($C72="gmA",$E72,'參數'!$C$25))+IF($B72="shock",$D72,IF($C72="shock",$E72,'參數'!$C$26))))*(1+IF($B72="inflation",$D72,IF($C72="inflation",$E72,'參數'!$C$27)))-AE72</x:f>
        <x:v>0.16000000000000003</x:v>
      </x:c>
      <x:c r="AI72" s="29" t="n">
        <x:f>IF(AB72=0,0,(Y72*AF72+Z72*AG72+AA72*AH72)/AB72)</x:f>
        <x:v>0.15599999999999997</x:v>
      </x:c>
      <x:c r="AJ72" s="28" t="n">
        <x:f>'參數'!$C$43</x:f>
        <x:v>1</x:v>
      </x:c>
      <x:c r="AK72" s="28" t="n">
        <x:f>MAX(0,(IF($B72="dso",$D72,IF($C72="dso",$E72,'參數'!$C$32))-(1-AI72)*IF($B72="dpo",$D72,IF($C72="dpo",$E72,'參數'!$C$33)))/365)</x:f>
        <x:v>0.10783561643835614</x:v>
      </x:c>
      <x:c r="AL72" s="28" t="n">
        <x:f>IF(AK72=0,AB72,(MAX(0,AJ72)+IF($B72="credit",$D72,IF($C72="credit",$E72,'參數'!$C$37)))/AK72)</x:f>
        <x:v>37.09349593495936</x:v>
      </x:c>
      <x:c r="AM72" s="28" t="n">
        <x:f>MIN(AB72,AC72,AL72)</x:f>
        <x:v>10</x:v>
      </x:c>
      <x:c r="AN72" s="28" t="n">
        <x:f>IF(AB72=0,0,AM72*Y72/AB72)</x:f>
        <x:v>4</x:v>
      </x:c>
      <x:c r="AO72" s="28" t="n">
        <x:f>IF(AB72=0,0,AM72*Z72/AB72)</x:f>
        <x:v>6</x:v>
      </x:c>
      <x:c r="AP72" s="28" t="n">
        <x:f>IF(AB72=0,0,AM72*AA72/AB72)</x:f>
        <x:v>0</x:v>
      </x:c>
      <x:c r="AQ72" s="28" t="n">
        <x:f>V72+L72-AN72</x:f>
        <x:v>0</x:v>
      </x:c>
      <x:c r="AR72" s="28" t="n">
        <x:f>W72+M72-AO72</x:f>
        <x:v>0</x:v>
      </x:c>
      <x:c r="AS72" s="28" t="n">
        <x:f>X72+N72-AP72</x:f>
        <x:v>10</x:v>
      </x:c>
      <x:c r="AT72" s="28" t="n">
        <x:f>AQ72+AR72+AS72</x:f>
        <x:v>10</x:v>
      </x:c>
      <x:c r="AU72" s="28" t="n">
        <x:f>AN72*(1-AF72)+AO72*(1-AG72)+AP72*(1-AH72)</x:f>
        <x:v>8.44</x:v>
      </x:c>
      <x:c r="AV72" s="28" t="n">
        <x:f>AM72-AU72</x:f>
        <x:v>1.5600000000000005</x:v>
      </x:c>
      <x:c r="AW72" s="29" t="n">
        <x:f>IF(AM72=0,0,AV72/AM72)</x:f>
        <x:v>0.15600000000000006</x:v>
      </x:c>
      <x:c r="AX72" s="28" t="n">
        <x:f>IF($B72="head",$D72,IF($C72="head",$E72,'參數'!$C$29))*IF($B72="wage",$D72,IF($C72="wage",$E72,'參數'!$C$30))</x:f>
        <x:v>0.22</x:v>
      </x:c>
      <x:c r="AY72" s="28" t="n">
        <x:f>IF($B72="opex",$D72,IF($C72="opex",$E72,'參數'!$C$31))</x:f>
        <x:v>0.23</x:v>
      </x:c>
      <x:c r="AZ72" s="28" t="n">
        <x:f>AX72+AY72</x:f>
        <x:v>0.45</x:v>
      </x:c>
      <x:c r="BA72" s="28" t="n">
        <x:f>AV72-AZ72</x:f>
        <x:v>1.1100000000000005</x:v>
      </x:c>
      <x:c r="BB72" s="28" t="n">
        <x:f>AM72*AK72</x:f>
        <x:v>1.0783561643835613</x:v>
      </x:c>
      <x:c r="BC72" s="28" t="n">
        <x:f>0</x:f>
        <x:v>0</x:v>
      </x:c>
      <x:c r="BD72" s="28" t="n">
        <x:f>MAX(0,BB72-MAX(0,AJ72))</x:f>
        <x:v>0.0783561643835613</x:v>
      </x:c>
      <x:c r="BE72" s="28" t="n">
        <x:f>(BC72+BD72)/2</x:f>
        <x:v>0.03917808219178065</x:v>
      </x:c>
      <x:c r="BF72" s="28" t="n">
        <x:f>BE72*IF($B72="rate",$D72,IF($C72="rate",$E72,'參數'!$C$34))</x:f>
        <x:v>0.001567123287671226</x:v>
      </x:c>
      <x:c r="BG72" s="28" t="n">
        <x:f>IF($B72="nonop",$D72,IF($C72="nonop",$E72,'參數'!$C$36))</x:f>
        <x:v>0.02</x:v>
      </x:c>
      <x:c r="BH72" s="28" t="n">
        <x:f>BA72+BG72-BF72</x:f>
        <x:v>1.1284328767123293</x:v>
      </x:c>
      <x:c r="BI72" s="28" t="n">
        <x:f>MAX(0,BH72)*IF($B72="tax",$D72,IF($C72="tax",$E72,'參數'!$C$35))</x:f>
        <x:v>0.22568657534246586</x:v>
      </x:c>
      <x:c r="BJ72" s="28" t="n">
        <x:f>BH72-BI72</x:f>
        <x:v>0.9027463013698634</x:v>
      </x:c>
      <x:c r="BK72" s="29" t="n">
        <x:f>IF(AM72=0,0,BJ72/AM72)</x:f>
        <x:v>0.09027463013698635</x:v>
      </x:c>
      <x:c r="BL72" s="28" t="n">
        <x:f>IF(BJ72&gt;=0,BJ72*IF($B72="retain",$D72,IF($C72="retain",$E72,'參數'!$C$38)),BJ72)</x:f>
        <x:v>0.4513731506849317</x:v>
      </x:c>
      <x:c r="BM72" s="28" t="n">
        <x:f>AJ72+BL72</x:f>
        <x:v>1.4513731506849317</x:v>
      </x:c>
      <x:c r="BN72" s="28" t="n">
        <x:f>MAX(0,AB72-AC72)</x:f>
        <x:v>0</x:v>
      </x:c>
      <x:c r="BO72" s="28" t="n">
        <x:f>MAX(0,MIN(AB72,AC72)-AM72)</x:f>
        <x:v>0</x:v>
      </x:c>
    </x:row>
    <x:row r="73" ht="24" customHeight="1">
      <x:c r="A73" s="2" t="str">
        <x:v>OU年度交付容量低端</x:v>
      </x:c>
      <x:c r="B73" s="2" t="str">
        <x:v>capacity</x:v>
      </x:c>
      <x:c r="C73" s="2" t="str"/>
      <x:c r="D73" s="11" t="n">
        <x:f>C12</x:f>
        <x:v>8</x:v>
      </x:c>
      <x:c r="E73" s="11" t="n">
        <x:f>0</x:f>
        <x:v>0</x:v>
      </x:c>
      <x:c r="F73" s="11" t="n">
        <x:f>'參數'!$C$47</x:f>
        <x:v>0</x:v>
      </x:c>
      <x:c r="G73" s="11" t="n">
        <x:f>'參數'!$C$48</x:f>
        <x:v>0</x:v>
      </x:c>
      <x:c r="H73" s="11" t="n">
        <x:f>'參數'!$C$49</x:f>
        <x:v>0</x:v>
      </x:c>
      <x:c r="I73" s="11" t="n">
        <x:f>F73+IF($B73="pE",$D73,IF($C73="pE",$E73,'參數'!$C$5))*IF($B73="scale",$D73,IF($C73="scale",$E73,'參數'!$C$8))</x:f>
        <x:v>10</x:v>
      </x:c>
      <x:c r="J73" s="11" t="n">
        <x:f>G73+IF($B73="pM",$D73,IF($C73="pM",$E73,'參數'!$C$6))*IF($B73="scale",$D73,IF($C73="scale",$E73,'參數'!$C$8))</x:f>
        <x:v>15</x:v>
      </x:c>
      <x:c r="K73" s="11" t="n">
        <x:f>H73+IF($B73="pA",$D73,IF($C73="pA",$E73,'參數'!$C$7))*IF($B73="scale",$D73,IF($C73="scale",$E73,'參數'!$C$8))</x:f>
        <x:v>50</x:v>
      </x:c>
      <x:c r="L73" s="11" t="n">
        <x:f>I73*IF($B73="winE",$D73,IF($C73="winE",$E73,'參數'!$C$9))</x:f>
        <x:v>4</x:v>
      </x:c>
      <x:c r="M73" s="28" t="n">
        <x:f>J73*IF($B73="winM",$D73,IF($C73="winM",$E73,'參數'!$C$10))</x:f>
        <x:v>6</x:v>
      </x:c>
      <x:c r="N73" s="28" t="n">
        <x:f>MIN(K73,IF($B73="readyA",$D73,IF($C73="readyA",$E73,'參數'!$C$11))*IF($B73="gateA",$D73,IF($C73="gateA",$E73,'參數'!$C$12)))</x:f>
        <x:v>10</x:v>
      </x:c>
      <x:c r="O73" s="28" t="n">
        <x:f>L73+M73+N73</x:f>
        <x:v>20</x:v>
      </x:c>
      <x:c r="P73" s="28" t="n">
        <x:f>(I73-L73)*IF($B73="attrition",$D73,IF($C73="attrition",$E73,'參數'!$C$13))</x:f>
        <x:v>1.2000000000000002</x:v>
      </x:c>
      <x:c r="Q73" s="28" t="n">
        <x:f>(J73-M73)*IF($B73="attrition",$D73,IF($C73="attrition",$E73,'參數'!$C$13))</x:f>
        <x:v>1.8</x:v>
      </x:c>
      <x:c r="R73" s="28" t="n">
        <x:f>(K73-N73)*IF($B73="attrition",$D73,IF($C73="attrition",$E73,'參數'!$C$13))</x:f>
        <x:v>8</x:v>
      </x:c>
      <x:c r="S73" s="28" t="n">
        <x:f>I73-L73-P73</x:f>
        <x:v>4.8</x:v>
      </x:c>
      <x:c r="T73" s="28" t="n">
        <x:f>J73-M73-Q73</x:f>
        <x:v>7.2</x:v>
      </x:c>
      <x:c r="U73" s="28" t="n">
        <x:f>K73-N73-R73</x:f>
        <x:v>32</x:v>
      </x:c>
      <x:c r="V73" s="28" t="n">
        <x:f>'參數'!$C$44</x:f>
        <x:v>0</x:v>
      </x:c>
      <x:c r="W73" s="28" t="n">
        <x:f>'參數'!$C$45</x:f>
        <x:v>0</x:v>
      </x:c>
      <x:c r="X73" s="28" t="n">
        <x:f>'參數'!$C$46</x:f>
        <x:v>0</x:v>
      </x:c>
      <x:c r="Y73" s="28" t="n">
        <x:f>V73*IF($B73="relE",$D73,IF($C73="relE",$E73,'參數'!$C$17))+L73*IF($B73="nowE",$D73,IF($C73="nowE",$E73,'參數'!$C$14))</x:f>
        <x:v>4</x:v>
      </x:c>
      <x:c r="Z73" s="28" t="n">
        <x:f>W73*IF($B73="relM",$D73,IF($C73="relM",$E73,'參數'!$C$18))+M73*IF($B73="nowM",$D73,IF($C73="nowM",$E73,'參數'!$C$15))</x:f>
        <x:v>6</x:v>
      </x:c>
      <x:c r="AA73" s="28" t="n">
        <x:f>X73*IF($B73="relA",$D73,IF($C73="relA",$E73,'參數'!$C$19))+N73*IF($B73="nowA",$D73,IF($C73="nowA",$E73,'參數'!$C$16))</x:f>
        <x:v>0</x:v>
      </x:c>
      <x:c r="AB73" s="28" t="n">
        <x:f>Y73+Z73+AA73</x:f>
        <x:v>10</x:v>
      </x:c>
      <x:c r="AC73" s="28" t="n">
        <x:f>IF($B73="capacity",$D73,IF($C73="capacity",$E73,'參數'!$C$20))</x:f>
        <x:v>8</x:v>
      </x:c>
      <x:c r="AD73" s="28" t="n">
        <x:f>IF(AC73=0,0,AB73/AC73)</x:f>
        <x:v>1.25</x:v>
      </x:c>
      <x:c r="AE73" s="29" t="n">
        <x:f>MAX(0,AD73-1)*IF($B73="congestion",$D73,IF($C73="congestion",$E73,'參數'!$C$28))</x:f>
        <x:v>0.0025</x:v>
      </x:c>
      <x:c r="AF73" s="29" t="n">
        <x:f>1-(1-(IF($B73="gmE",$D73,IF($C73="gmE",$E73,'參數'!$C$21))+IF($B73="shock",$D73,IF($C73="shock",$E73,'參數'!$C$26))))*(1+IF($B73="inflation",$D73,IF($C73="inflation",$E73,'參數'!$C$27)))-AE73</x:f>
        <x:v>0.1175</x:v>
      </x:c>
      <x:c r="AG73" s="29" t="n">
        <x:f>1-(1-(IF($B73="gmM",$D73,IF($C73="gmM",$E73,'參數'!$C$22))+IF($B73="dev",$D73,IF($C73="dev",$E73,'參數'!$C$23))*IF($B73="devReal",$D73,IF($C73="devReal",$E73,'參數'!$C$24))+IF($B73="shock",$D73,IF($C73="shock",$E73,'參數'!$C$26))))*(1+IF($B73="inflation",$D73,IF($C73="inflation",$E73,'參數'!$C$27)))-AE73</x:f>
        <x:v>0.17749999999999994</x:v>
      </x:c>
      <x:c r="AH73" s="29" t="n">
        <x:f>1-(1-(IF($B73="gmA",$D73,IF($C73="gmA",$E73,'參數'!$C$25))+IF($B73="shock",$D73,IF($C73="shock",$E73,'參數'!$C$26))))*(1+IF($B73="inflation",$D73,IF($C73="inflation",$E73,'參數'!$C$27)))-AE73</x:f>
        <x:v>0.15750000000000003</x:v>
      </x:c>
      <x:c r="AI73" s="29" t="n">
        <x:f>IF(AB73=0,0,(Y73*AF73+Z73*AG73+AA73*AH73)/AB73)</x:f>
        <x:v>0.15349999999999994</x:v>
      </x:c>
      <x:c r="AJ73" s="28" t="n">
        <x:f>'參數'!$C$43</x:f>
        <x:v>1</x:v>
      </x:c>
      <x:c r="AK73" s="28" t="n">
        <x:f>MAX(0,(IF($B73="dso",$D73,IF($C73="dso",$E73,'參數'!$C$32))-(1-AI73)*IF($B73="dpo",$D73,IF($C73="dpo",$E73,'參數'!$C$33)))/365)</x:f>
        <x:v>0.10742465753424658</x:v>
      </x:c>
      <x:c r="AL73" s="28" t="n">
        <x:f>IF(AK73=0,AB73,(MAX(0,AJ73)+IF($B73="credit",$D73,IF($C73="credit",$E73,'參數'!$C$37)))/AK73)</x:f>
        <x:v>37.235399132874264</x:v>
      </x:c>
      <x:c r="AM73" s="28" t="n">
        <x:f>MIN(AB73,AC73,AL73)</x:f>
        <x:v>8</x:v>
      </x:c>
      <x:c r="AN73" s="28" t="n">
        <x:f>IF(AB73=0,0,AM73*Y73/AB73)</x:f>
        <x:v>3.2</x:v>
      </x:c>
      <x:c r="AO73" s="28" t="n">
        <x:f>IF(AB73=0,0,AM73*Z73/AB73)</x:f>
        <x:v>4.8</x:v>
      </x:c>
      <x:c r="AP73" s="28" t="n">
        <x:f>IF(AB73=0,0,AM73*AA73/AB73)</x:f>
        <x:v>0</x:v>
      </x:c>
      <x:c r="AQ73" s="28" t="n">
        <x:f>V73+L73-AN73</x:f>
        <x:v>0.7999999999999998</x:v>
      </x:c>
      <x:c r="AR73" s="28" t="n">
        <x:f>W73+M73-AO73</x:f>
        <x:v>1.2000000000000002</x:v>
      </x:c>
      <x:c r="AS73" s="28" t="n">
        <x:f>X73+N73-AP73</x:f>
        <x:v>10</x:v>
      </x:c>
      <x:c r="AT73" s="28" t="n">
        <x:f>AQ73+AR73+AS73</x:f>
        <x:v>12</x:v>
      </x:c>
      <x:c r="AU73" s="28" t="n">
        <x:f>AN73*(1-AF73)+AO73*(1-AG73)+AP73*(1-AH73)</x:f>
        <x:v>6.772</x:v>
      </x:c>
      <x:c r="AV73" s="28" t="n">
        <x:f>AM73-AU73</x:f>
        <x:v>1.2279999999999998</x:v>
      </x:c>
      <x:c r="AW73" s="29" t="n">
        <x:f>IF(AM73=0,0,AV73/AM73)</x:f>
        <x:v>0.15349999999999997</x:v>
      </x:c>
      <x:c r="AX73" s="28" t="n">
        <x:f>IF($B73="head",$D73,IF($C73="head",$E73,'參數'!$C$29))*IF($B73="wage",$D73,IF($C73="wage",$E73,'參數'!$C$30))</x:f>
        <x:v>0.22</x:v>
      </x:c>
      <x:c r="AY73" s="28" t="n">
        <x:f>IF($B73="opex",$D73,IF($C73="opex",$E73,'參數'!$C$31))</x:f>
        <x:v>0.23</x:v>
      </x:c>
      <x:c r="AZ73" s="28" t="n">
        <x:f>AX73+AY73</x:f>
        <x:v>0.45</x:v>
      </x:c>
      <x:c r="BA73" s="28" t="n">
        <x:f>AV73-AZ73</x:f>
        <x:v>0.7779999999999998</x:v>
      </x:c>
      <x:c r="BB73" s="28" t="n">
        <x:f>AM73*AK73</x:f>
        <x:v>0.8593972602739727</x:v>
      </x:c>
      <x:c r="BC73" s="28" t="n">
        <x:f>0</x:f>
        <x:v>0</x:v>
      </x:c>
      <x:c r="BD73" s="28" t="n">
        <x:f>MAX(0,BB73-MAX(0,AJ73))</x:f>
        <x:v>0</x:v>
      </x:c>
      <x:c r="BE73" s="28" t="n">
        <x:f>(BC73+BD73)/2</x:f>
        <x:v>0</x:v>
      </x:c>
      <x:c r="BF73" s="28" t="n">
        <x:f>BE73*IF($B73="rate",$D73,IF($C73="rate",$E73,'參數'!$C$34))</x:f>
        <x:v>0</x:v>
      </x:c>
      <x:c r="BG73" s="28" t="n">
        <x:f>IF($B73="nonop",$D73,IF($C73="nonop",$E73,'參數'!$C$36))</x:f>
        <x:v>0.02</x:v>
      </x:c>
      <x:c r="BH73" s="28" t="n">
        <x:f>BA73+BG73-BF73</x:f>
        <x:v>0.7979999999999998</x:v>
      </x:c>
      <x:c r="BI73" s="28" t="n">
        <x:f>MAX(0,BH73)*IF($B73="tax",$D73,IF($C73="tax",$E73,'參數'!$C$35))</x:f>
        <x:v>0.15959999999999996</x:v>
      </x:c>
      <x:c r="BJ73" s="28" t="n">
        <x:f>BH73-BI73</x:f>
        <x:v>0.6383999999999999</x:v>
      </x:c>
      <x:c r="BK73" s="29" t="n">
        <x:f>IF(AM73=0,0,BJ73/AM73)</x:f>
        <x:v>0.07979999999999998</x:v>
      </x:c>
      <x:c r="BL73" s="28" t="n">
        <x:f>IF(BJ73&gt;=0,BJ73*IF($B73="retain",$D73,IF($C73="retain",$E73,'參數'!$C$38)),BJ73)</x:f>
        <x:v>0.31919999999999993</x:v>
      </x:c>
      <x:c r="BM73" s="28" t="n">
        <x:f>AJ73+BL73</x:f>
        <x:v>1.3192</x:v>
      </x:c>
      <x:c r="BN73" s="28" t="n">
        <x:f>MAX(0,AB73-AC73)</x:f>
        <x:v>2</x:v>
      </x:c>
      <x:c r="BO73" s="28" t="n">
        <x:f>MAX(0,MIN(AB73,AC73)-AM73)</x:f>
        <x:v>0</x:v>
      </x:c>
    </x:row>
    <x:row r="74" ht="24" customHeight="1">
      <x:c r="A74" s="2" t="str">
        <x:v>OU年度交付容量高端</x:v>
      </x:c>
      <x:c r="B74" s="2" t="str">
        <x:v>capacity</x:v>
      </x:c>
      <x:c r="C74" s="2" t="str"/>
      <x:c r="D74" s="11" t="n">
        <x:f>D12</x:f>
        <x:v>12</x:v>
      </x:c>
      <x:c r="E74" s="11" t="n">
        <x:f>0</x:f>
        <x:v>0</x:v>
      </x:c>
      <x:c r="F74" s="11" t="n">
        <x:f>'參數'!$C$47</x:f>
        <x:v>0</x:v>
      </x:c>
      <x:c r="G74" s="11" t="n">
        <x:f>'參數'!$C$48</x:f>
        <x:v>0</x:v>
      </x:c>
      <x:c r="H74" s="11" t="n">
        <x:f>'參數'!$C$49</x:f>
        <x:v>0</x:v>
      </x:c>
      <x:c r="I74" s="11" t="n">
        <x:f>F74+IF($B74="pE",$D74,IF($C74="pE",$E74,'參數'!$C$5))*IF($B74="scale",$D74,IF($C74="scale",$E74,'參數'!$C$8))</x:f>
        <x:v>10</x:v>
      </x:c>
      <x:c r="J74" s="11" t="n">
        <x:f>G74+IF($B74="pM",$D74,IF($C74="pM",$E74,'參數'!$C$6))*IF($B74="scale",$D74,IF($C74="scale",$E74,'參數'!$C$8))</x:f>
        <x:v>15</x:v>
      </x:c>
      <x:c r="K74" s="11" t="n">
        <x:f>H74+IF($B74="pA",$D74,IF($C74="pA",$E74,'參數'!$C$7))*IF($B74="scale",$D74,IF($C74="scale",$E74,'參數'!$C$8))</x:f>
        <x:v>50</x:v>
      </x:c>
      <x:c r="L74" s="11" t="n">
        <x:f>I74*IF($B74="winE",$D74,IF($C74="winE",$E74,'參數'!$C$9))</x:f>
        <x:v>4</x:v>
      </x:c>
      <x:c r="M74" s="28" t="n">
        <x:f>J74*IF($B74="winM",$D74,IF($C74="winM",$E74,'參數'!$C$10))</x:f>
        <x:v>6</x:v>
      </x:c>
      <x:c r="N74" s="28" t="n">
        <x:f>MIN(K74,IF($B74="readyA",$D74,IF($C74="readyA",$E74,'參數'!$C$11))*IF($B74="gateA",$D74,IF($C74="gateA",$E74,'參數'!$C$12)))</x:f>
        <x:v>10</x:v>
      </x:c>
      <x:c r="O74" s="28" t="n">
        <x:f>L74+M74+N74</x:f>
        <x:v>20</x:v>
      </x:c>
      <x:c r="P74" s="28" t="n">
        <x:f>(I74-L74)*IF($B74="attrition",$D74,IF($C74="attrition",$E74,'參數'!$C$13))</x:f>
        <x:v>1.2000000000000002</x:v>
      </x:c>
      <x:c r="Q74" s="28" t="n">
        <x:f>(J74-M74)*IF($B74="attrition",$D74,IF($C74="attrition",$E74,'參數'!$C$13))</x:f>
        <x:v>1.8</x:v>
      </x:c>
      <x:c r="R74" s="28" t="n">
        <x:f>(K74-N74)*IF($B74="attrition",$D74,IF($C74="attrition",$E74,'參數'!$C$13))</x:f>
        <x:v>8</x:v>
      </x:c>
      <x:c r="S74" s="28" t="n">
        <x:f>I74-L74-P74</x:f>
        <x:v>4.8</x:v>
      </x:c>
      <x:c r="T74" s="28" t="n">
        <x:f>J74-M74-Q74</x:f>
        <x:v>7.2</x:v>
      </x:c>
      <x:c r="U74" s="28" t="n">
        <x:f>K74-N74-R74</x:f>
        <x:v>32</x:v>
      </x:c>
      <x:c r="V74" s="28" t="n">
        <x:f>'參數'!$C$44</x:f>
        <x:v>0</x:v>
      </x:c>
      <x:c r="W74" s="28" t="n">
        <x:f>'參數'!$C$45</x:f>
        <x:v>0</x:v>
      </x:c>
      <x:c r="X74" s="28" t="n">
        <x:f>'參數'!$C$46</x:f>
        <x:v>0</x:v>
      </x:c>
      <x:c r="Y74" s="28" t="n">
        <x:f>V74*IF($B74="relE",$D74,IF($C74="relE",$E74,'參數'!$C$17))+L74*IF($B74="nowE",$D74,IF($C74="nowE",$E74,'參數'!$C$14))</x:f>
        <x:v>4</x:v>
      </x:c>
      <x:c r="Z74" s="28" t="n">
        <x:f>W74*IF($B74="relM",$D74,IF($C74="relM",$E74,'參數'!$C$18))+M74*IF($B74="nowM",$D74,IF($C74="nowM",$E74,'參數'!$C$15))</x:f>
        <x:v>6</x:v>
      </x:c>
      <x:c r="AA74" s="28" t="n">
        <x:f>X74*IF($B74="relA",$D74,IF($C74="relA",$E74,'參數'!$C$19))+N74*IF($B74="nowA",$D74,IF($C74="nowA",$E74,'參數'!$C$16))</x:f>
        <x:v>0</x:v>
      </x:c>
      <x:c r="AB74" s="28" t="n">
        <x:f>Y74+Z74+AA74</x:f>
        <x:v>10</x:v>
      </x:c>
      <x:c r="AC74" s="28" t="n">
        <x:f>IF($B74="capacity",$D74,IF($C74="capacity",$E74,'參數'!$C$20))</x:f>
        <x:v>12</x:v>
      </x:c>
      <x:c r="AD74" s="28" t="n">
        <x:f>IF(AC74=0,0,AB74/AC74)</x:f>
        <x:v>0.8333333333333334</x:v>
      </x:c>
      <x:c r="AE74" s="29" t="n">
        <x:f>MAX(0,AD74-1)*IF($B74="congestion",$D74,IF($C74="congestion",$E74,'參數'!$C$28))</x:f>
        <x:v>0</x:v>
      </x:c>
      <x:c r="AF74" s="29" t="n">
        <x:f>1-(1-(IF($B74="gmE",$D74,IF($C74="gmE",$E74,'參數'!$C$21))+IF($B74="shock",$D74,IF($C74="shock",$E74,'參數'!$C$26))))*(1+IF($B74="inflation",$D74,IF($C74="inflation",$E74,'參數'!$C$27)))-AE74</x:f>
        <x:v>0.12</x:v>
      </x:c>
      <x:c r="AG74" s="29" t="n">
        <x:f>1-(1-(IF($B74="gmM",$D74,IF($C74="gmM",$E74,'參數'!$C$22))+IF($B74="dev",$D74,IF($C74="dev",$E74,'參數'!$C$23))*IF($B74="devReal",$D74,IF($C74="devReal",$E74,'參數'!$C$24))+IF($B74="shock",$D74,IF($C74="shock",$E74,'參數'!$C$26))))*(1+IF($B74="inflation",$D74,IF($C74="inflation",$E74,'參數'!$C$27)))-AE74</x:f>
        <x:v>0.17999999999999994</x:v>
      </x:c>
      <x:c r="AH74" s="29" t="n">
        <x:f>1-(1-(IF($B74="gmA",$D74,IF($C74="gmA",$E74,'參數'!$C$25))+IF($B74="shock",$D74,IF($C74="shock",$E74,'參數'!$C$26))))*(1+IF($B74="inflation",$D74,IF($C74="inflation",$E74,'參數'!$C$27)))-AE74</x:f>
        <x:v>0.16000000000000003</x:v>
      </x:c>
      <x:c r="AI74" s="29" t="n">
        <x:f>IF(AB74=0,0,(Y74*AF74+Z74*AG74+AA74*AH74)/AB74)</x:f>
        <x:v>0.15599999999999997</x:v>
      </x:c>
      <x:c r="AJ74" s="28" t="n">
        <x:f>'參數'!$C$43</x:f>
        <x:v>1</x:v>
      </x:c>
      <x:c r="AK74" s="28" t="n">
        <x:f>MAX(0,(IF($B74="dso",$D74,IF($C74="dso",$E74,'參數'!$C$32))-(1-AI74)*IF($B74="dpo",$D74,IF($C74="dpo",$E74,'參數'!$C$33)))/365)</x:f>
        <x:v>0.10783561643835614</x:v>
      </x:c>
      <x:c r="AL74" s="28" t="n">
        <x:f>IF(AK74=0,AB74,(MAX(0,AJ74)+IF($B74="credit",$D74,IF($C74="credit",$E74,'參數'!$C$37)))/AK74)</x:f>
        <x:v>37.09349593495936</x:v>
      </x:c>
      <x:c r="AM74" s="28" t="n">
        <x:f>MIN(AB74,AC74,AL74)</x:f>
        <x:v>10</x:v>
      </x:c>
      <x:c r="AN74" s="28" t="n">
        <x:f>IF(AB74=0,0,AM74*Y74/AB74)</x:f>
        <x:v>4</x:v>
      </x:c>
      <x:c r="AO74" s="28" t="n">
        <x:f>IF(AB74=0,0,AM74*Z74/AB74)</x:f>
        <x:v>6</x:v>
      </x:c>
      <x:c r="AP74" s="28" t="n">
        <x:f>IF(AB74=0,0,AM74*AA74/AB74)</x:f>
        <x:v>0</x:v>
      </x:c>
      <x:c r="AQ74" s="28" t="n">
        <x:f>V74+L74-AN74</x:f>
        <x:v>0</x:v>
      </x:c>
      <x:c r="AR74" s="28" t="n">
        <x:f>W74+M74-AO74</x:f>
        <x:v>0</x:v>
      </x:c>
      <x:c r="AS74" s="28" t="n">
        <x:f>X74+N74-AP74</x:f>
        <x:v>10</x:v>
      </x:c>
      <x:c r="AT74" s="28" t="n">
        <x:f>AQ74+AR74+AS74</x:f>
        <x:v>10</x:v>
      </x:c>
      <x:c r="AU74" s="28" t="n">
        <x:f>AN74*(1-AF74)+AO74*(1-AG74)+AP74*(1-AH74)</x:f>
        <x:v>8.44</x:v>
      </x:c>
      <x:c r="AV74" s="28" t="n">
        <x:f>AM74-AU74</x:f>
        <x:v>1.5600000000000005</x:v>
      </x:c>
      <x:c r="AW74" s="29" t="n">
        <x:f>IF(AM74=0,0,AV74/AM74)</x:f>
        <x:v>0.15600000000000006</x:v>
      </x:c>
      <x:c r="AX74" s="28" t="n">
        <x:f>IF($B74="head",$D74,IF($C74="head",$E74,'參數'!$C$29))*IF($B74="wage",$D74,IF($C74="wage",$E74,'參數'!$C$30))</x:f>
        <x:v>0.22</x:v>
      </x:c>
      <x:c r="AY74" s="28" t="n">
        <x:f>IF($B74="opex",$D74,IF($C74="opex",$E74,'參數'!$C$31))</x:f>
        <x:v>0.23</x:v>
      </x:c>
      <x:c r="AZ74" s="28" t="n">
        <x:f>AX74+AY74</x:f>
        <x:v>0.45</x:v>
      </x:c>
      <x:c r="BA74" s="28" t="n">
        <x:f>AV74-AZ74</x:f>
        <x:v>1.1100000000000005</x:v>
      </x:c>
      <x:c r="BB74" s="28" t="n">
        <x:f>AM74*AK74</x:f>
        <x:v>1.0783561643835613</x:v>
      </x:c>
      <x:c r="BC74" s="28" t="n">
        <x:f>0</x:f>
        <x:v>0</x:v>
      </x:c>
      <x:c r="BD74" s="28" t="n">
        <x:f>MAX(0,BB74-MAX(0,AJ74))</x:f>
        <x:v>0.0783561643835613</x:v>
      </x:c>
      <x:c r="BE74" s="28" t="n">
        <x:f>(BC74+BD74)/2</x:f>
        <x:v>0.03917808219178065</x:v>
      </x:c>
      <x:c r="BF74" s="28" t="n">
        <x:f>BE74*IF($B74="rate",$D74,IF($C74="rate",$E74,'參數'!$C$34))</x:f>
        <x:v>0.001567123287671226</x:v>
      </x:c>
      <x:c r="BG74" s="28" t="n">
        <x:f>IF($B74="nonop",$D74,IF($C74="nonop",$E74,'參數'!$C$36))</x:f>
        <x:v>0.02</x:v>
      </x:c>
      <x:c r="BH74" s="28" t="n">
        <x:f>BA74+BG74-BF74</x:f>
        <x:v>1.1284328767123293</x:v>
      </x:c>
      <x:c r="BI74" s="28" t="n">
        <x:f>MAX(0,BH74)*IF($B74="tax",$D74,IF($C74="tax",$E74,'參數'!$C$35))</x:f>
        <x:v>0.22568657534246586</x:v>
      </x:c>
      <x:c r="BJ74" s="28" t="n">
        <x:f>BH74-BI74</x:f>
        <x:v>0.9027463013698634</x:v>
      </x:c>
      <x:c r="BK74" s="29" t="n">
        <x:f>IF(AM74=0,0,BJ74/AM74)</x:f>
        <x:v>0.09027463013698635</x:v>
      </x:c>
      <x:c r="BL74" s="28" t="n">
        <x:f>IF(BJ74&gt;=0,BJ74*IF($B74="retain",$D74,IF($C74="retain",$E74,'參數'!$C$38)),BJ74)</x:f>
        <x:v>0.4513731506849317</x:v>
      </x:c>
      <x:c r="BM74" s="28" t="n">
        <x:f>AJ74+BL74</x:f>
        <x:v>1.4513731506849317</x:v>
      </x:c>
      <x:c r="BN74" s="28" t="n">
        <x:f>MAX(0,AB74-AC74)</x:f>
        <x:v>0</x:v>
      </x:c>
      <x:c r="BO74" s="28" t="n">
        <x:f>MAX(0,MIN(AB74,AC74)-AM74)</x:f>
        <x:v>0</x:v>
      </x:c>
    </x:row>
    <x:row r="75" ht="24" customHeight="1">
      <x:c r="A75" s="2" t="str">
        <x:v>三軌共同毛利率變動低端</x:v>
      </x:c>
      <x:c r="B75" s="2" t="str">
        <x:v>shock</x:v>
      </x:c>
      <x:c r="C75" s="2" t="str"/>
      <x:c r="D75" s="11" t="n">
        <x:f>C13</x:f>
        <x:v>-0.03</x:v>
      </x:c>
      <x:c r="E75" s="11" t="n">
        <x:f>0</x:f>
        <x:v>0</x:v>
      </x:c>
      <x:c r="F75" s="11" t="n">
        <x:f>'參數'!$C$47</x:f>
        <x:v>0</x:v>
      </x:c>
      <x:c r="G75" s="11" t="n">
        <x:f>'參數'!$C$48</x:f>
        <x:v>0</x:v>
      </x:c>
      <x:c r="H75" s="11" t="n">
        <x:f>'參數'!$C$49</x:f>
        <x:v>0</x:v>
      </x:c>
      <x:c r="I75" s="11" t="n">
        <x:f>F75+IF($B75="pE",$D75,IF($C75="pE",$E75,'參數'!$C$5))*IF($B75="scale",$D75,IF($C75="scale",$E75,'參數'!$C$8))</x:f>
        <x:v>10</x:v>
      </x:c>
      <x:c r="J75" s="11" t="n">
        <x:f>G75+IF($B75="pM",$D75,IF($C75="pM",$E75,'參數'!$C$6))*IF($B75="scale",$D75,IF($C75="scale",$E75,'參數'!$C$8))</x:f>
        <x:v>15</x:v>
      </x:c>
      <x:c r="K75" s="11" t="n">
        <x:f>H75+IF($B75="pA",$D75,IF($C75="pA",$E75,'參數'!$C$7))*IF($B75="scale",$D75,IF($C75="scale",$E75,'參數'!$C$8))</x:f>
        <x:v>50</x:v>
      </x:c>
      <x:c r="L75" s="11" t="n">
        <x:f>I75*IF($B75="winE",$D75,IF($C75="winE",$E75,'參數'!$C$9))</x:f>
        <x:v>4</x:v>
      </x:c>
      <x:c r="M75" s="28" t="n">
        <x:f>J75*IF($B75="winM",$D75,IF($C75="winM",$E75,'參數'!$C$10))</x:f>
        <x:v>6</x:v>
      </x:c>
      <x:c r="N75" s="28" t="n">
        <x:f>MIN(K75,IF($B75="readyA",$D75,IF($C75="readyA",$E75,'參數'!$C$11))*IF($B75="gateA",$D75,IF($C75="gateA",$E75,'參數'!$C$12)))</x:f>
        <x:v>10</x:v>
      </x:c>
      <x:c r="O75" s="28" t="n">
        <x:f>L75+M75+N75</x:f>
        <x:v>20</x:v>
      </x:c>
      <x:c r="P75" s="28" t="n">
        <x:f>(I75-L75)*IF($B75="attrition",$D75,IF($C75="attrition",$E75,'參數'!$C$13))</x:f>
        <x:v>1.2000000000000002</x:v>
      </x:c>
      <x:c r="Q75" s="28" t="n">
        <x:f>(J75-M75)*IF($B75="attrition",$D75,IF($C75="attrition",$E75,'參數'!$C$13))</x:f>
        <x:v>1.8</x:v>
      </x:c>
      <x:c r="R75" s="28" t="n">
        <x:f>(K75-N75)*IF($B75="attrition",$D75,IF($C75="attrition",$E75,'參數'!$C$13))</x:f>
        <x:v>8</x:v>
      </x:c>
      <x:c r="S75" s="28" t="n">
        <x:f>I75-L75-P75</x:f>
        <x:v>4.8</x:v>
      </x:c>
      <x:c r="T75" s="28" t="n">
        <x:f>J75-M75-Q75</x:f>
        <x:v>7.2</x:v>
      </x:c>
      <x:c r="U75" s="28" t="n">
        <x:f>K75-N75-R75</x:f>
        <x:v>32</x:v>
      </x:c>
      <x:c r="V75" s="28" t="n">
        <x:f>'參數'!$C$44</x:f>
        <x:v>0</x:v>
      </x:c>
      <x:c r="W75" s="28" t="n">
        <x:f>'參數'!$C$45</x:f>
        <x:v>0</x:v>
      </x:c>
      <x:c r="X75" s="28" t="n">
        <x:f>'參數'!$C$46</x:f>
        <x:v>0</x:v>
      </x:c>
      <x:c r="Y75" s="28" t="n">
        <x:f>V75*IF($B75="relE",$D75,IF($C75="relE",$E75,'參數'!$C$17))+L75*IF($B75="nowE",$D75,IF($C75="nowE",$E75,'參數'!$C$14))</x:f>
        <x:v>4</x:v>
      </x:c>
      <x:c r="Z75" s="28" t="n">
        <x:f>W75*IF($B75="relM",$D75,IF($C75="relM",$E75,'參數'!$C$18))+M75*IF($B75="nowM",$D75,IF($C75="nowM",$E75,'參數'!$C$15))</x:f>
        <x:v>6</x:v>
      </x:c>
      <x:c r="AA75" s="28" t="n">
        <x:f>X75*IF($B75="relA",$D75,IF($C75="relA",$E75,'參數'!$C$19))+N75*IF($B75="nowA",$D75,IF($C75="nowA",$E75,'參數'!$C$16))</x:f>
        <x:v>0</x:v>
      </x:c>
      <x:c r="AB75" s="28" t="n">
        <x:f>Y75+Z75+AA75</x:f>
        <x:v>10</x:v>
      </x:c>
      <x:c r="AC75" s="28" t="n">
        <x:f>IF($B75="capacity",$D75,IF($C75="capacity",$E75,'參數'!$C$20))</x:f>
        <x:v>10</x:v>
      </x:c>
      <x:c r="AD75" s="28" t="n">
        <x:f>IF(AC75=0,0,AB75/AC75)</x:f>
        <x:v>1</x:v>
      </x:c>
      <x:c r="AE75" s="29" t="n">
        <x:f>MAX(0,AD75-1)*IF($B75="congestion",$D75,IF($C75="congestion",$E75,'參數'!$C$28))</x:f>
        <x:v>0</x:v>
      </x:c>
      <x:c r="AF75" s="29" t="n">
        <x:f>1-(1-(IF($B75="gmE",$D75,IF($C75="gmE",$E75,'參數'!$C$21))+IF($B75="shock",$D75,IF($C75="shock",$E75,'參數'!$C$26))))*(1+IF($B75="inflation",$D75,IF($C75="inflation",$E75,'參數'!$C$27)))-AE75</x:f>
        <x:v>0.08999999999999997</x:v>
      </x:c>
      <x:c r="AG75" s="29" t="n">
        <x:f>1-(1-(IF($B75="gmM",$D75,IF($C75="gmM",$E75,'參數'!$C$22))+IF($B75="dev",$D75,IF($C75="dev",$E75,'參數'!$C$23))*IF($B75="devReal",$D75,IF($C75="devReal",$E75,'參數'!$C$24))+IF($B75="shock",$D75,IF($C75="shock",$E75,'參數'!$C$26))))*(1+IF($B75="inflation",$D75,IF($C75="inflation",$E75,'參數'!$C$27)))-AE75</x:f>
        <x:v>0.15000000000000002</x:v>
      </x:c>
      <x:c r="AH75" s="29" t="n">
        <x:f>1-(1-(IF($B75="gmA",$D75,IF($C75="gmA",$E75,'參數'!$C$25))+IF($B75="shock",$D75,IF($C75="shock",$E75,'參數'!$C$26))))*(1+IF($B75="inflation",$D75,IF($C75="inflation",$E75,'參數'!$C$27)))-AE75</x:f>
        <x:v>0.13</x:v>
      </x:c>
      <x:c r="AI75" s="29" t="n">
        <x:f>IF(AB75=0,0,(Y75*AF75+Z75*AG75+AA75*AH75)/AB75)</x:f>
        <x:v>0.126</x:v>
      </x:c>
      <x:c r="AJ75" s="28" t="n">
        <x:f>'參數'!$C$43</x:f>
        <x:v>1</x:v>
      </x:c>
      <x:c r="AK75" s="28" t="n">
        <x:f>MAX(0,(IF($B75="dso",$D75,IF($C75="dso",$E75,'參數'!$C$32))-(1-AI75)*IF($B75="dpo",$D75,IF($C75="dpo",$E75,'參數'!$C$33)))/365)</x:f>
        <x:v>0.1029041095890411</x:v>
      </x:c>
      <x:c r="AL75" s="28" t="n">
        <x:f>IF(AK75=0,AB75,(MAX(0,AJ75)+IF($B75="credit",$D75,IF($C75="credit",$E75,'參數'!$C$37)))/AK75)</x:f>
        <x:v>38.871139510117146</x:v>
      </x:c>
      <x:c r="AM75" s="28" t="n">
        <x:f>MIN(AB75,AC75,AL75)</x:f>
        <x:v>10</x:v>
      </x:c>
      <x:c r="AN75" s="28" t="n">
        <x:f>IF(AB75=0,0,AM75*Y75/AB75)</x:f>
        <x:v>4</x:v>
      </x:c>
      <x:c r="AO75" s="28" t="n">
        <x:f>IF(AB75=0,0,AM75*Z75/AB75)</x:f>
        <x:v>6</x:v>
      </x:c>
      <x:c r="AP75" s="28" t="n">
        <x:f>IF(AB75=0,0,AM75*AA75/AB75)</x:f>
        <x:v>0</x:v>
      </x:c>
      <x:c r="AQ75" s="28" t="n">
        <x:f>V75+L75-AN75</x:f>
        <x:v>0</x:v>
      </x:c>
      <x:c r="AR75" s="28" t="n">
        <x:f>W75+M75-AO75</x:f>
        <x:v>0</x:v>
      </x:c>
      <x:c r="AS75" s="28" t="n">
        <x:f>X75+N75-AP75</x:f>
        <x:v>10</x:v>
      </x:c>
      <x:c r="AT75" s="28" t="n">
        <x:f>AQ75+AR75+AS75</x:f>
        <x:v>10</x:v>
      </x:c>
      <x:c r="AU75" s="28" t="n">
        <x:f>AN75*(1-AF75)+AO75*(1-AG75)+AP75*(1-AH75)</x:f>
        <x:v>8.74</x:v>
      </x:c>
      <x:c r="AV75" s="28" t="n">
        <x:f>AM75-AU75</x:f>
        <x:v>1.2599999999999998</x:v>
      </x:c>
      <x:c r="AW75" s="29" t="n">
        <x:f>IF(AM75=0,0,AV75/AM75)</x:f>
        <x:v>0.12599999999999997</x:v>
      </x:c>
      <x:c r="AX75" s="28" t="n">
        <x:f>IF($B75="head",$D75,IF($C75="head",$E75,'參數'!$C$29))*IF($B75="wage",$D75,IF($C75="wage",$E75,'參數'!$C$30))</x:f>
        <x:v>0.22</x:v>
      </x:c>
      <x:c r="AY75" s="28" t="n">
        <x:f>IF($B75="opex",$D75,IF($C75="opex",$E75,'參數'!$C$31))</x:f>
        <x:v>0.23</x:v>
      </x:c>
      <x:c r="AZ75" s="28" t="n">
        <x:f>AX75+AY75</x:f>
        <x:v>0.45</x:v>
      </x:c>
      <x:c r="BA75" s="28" t="n">
        <x:f>AV75-AZ75</x:f>
        <x:v>0.8099999999999998</x:v>
      </x:c>
      <x:c r="BB75" s="28" t="n">
        <x:f>AM75*AK75</x:f>
        <x:v>1.029041095890411</x:v>
      </x:c>
      <x:c r="BC75" s="28" t="n">
        <x:f>0</x:f>
        <x:v>0</x:v>
      </x:c>
      <x:c r="BD75" s="28" t="n">
        <x:f>MAX(0,BB75-MAX(0,AJ75))</x:f>
        <x:v>0.02904109589041104</x:v>
      </x:c>
      <x:c r="BE75" s="28" t="n">
        <x:f>(BC75+BD75)/2</x:f>
        <x:v>0.01452054794520552</x:v>
      </x:c>
      <x:c r="BF75" s="28" t="n">
        <x:f>BE75*IF($B75="rate",$D75,IF($C75="rate",$E75,'參數'!$C$34))</x:f>
        <x:v>0.0005808219178082208</x:v>
      </x:c>
      <x:c r="BG75" s="28" t="n">
        <x:f>IF($B75="nonop",$D75,IF($C75="nonop",$E75,'參數'!$C$36))</x:f>
        <x:v>0.02</x:v>
      </x:c>
      <x:c r="BH75" s="28" t="n">
        <x:f>BA75+BG75-BF75</x:f>
        <x:v>0.8294191780821917</x:v>
      </x:c>
      <x:c r="BI75" s="28" t="n">
        <x:f>MAX(0,BH75)*IF($B75="tax",$D75,IF($C75="tax",$E75,'參數'!$C$35))</x:f>
        <x:v>0.16588383561643835</x:v>
      </x:c>
      <x:c r="BJ75" s="28" t="n">
        <x:f>BH75-BI75</x:f>
        <x:v>0.6635353424657533</x:v>
      </x:c>
      <x:c r="BK75" s="29" t="n">
        <x:f>IF(AM75=0,0,BJ75/AM75)</x:f>
        <x:v>0.06635353424657534</x:v>
      </x:c>
      <x:c r="BL75" s="28" t="n">
        <x:f>IF(BJ75&gt;=0,BJ75*IF($B75="retain",$D75,IF($C75="retain",$E75,'參數'!$C$38)),BJ75)</x:f>
        <x:v>0.33176767123287665</x:v>
      </x:c>
      <x:c r="BM75" s="28" t="n">
        <x:f>AJ75+BL75</x:f>
        <x:v>1.3317676712328765</x:v>
      </x:c>
      <x:c r="BN75" s="28" t="n">
        <x:f>MAX(0,AB75-AC75)</x:f>
        <x:v>0</x:v>
      </x:c>
      <x:c r="BO75" s="28" t="n">
        <x:f>MAX(0,MIN(AB75,AC75)-AM75)</x:f>
        <x:v>0</x:v>
      </x:c>
    </x:row>
    <x:row r="76" ht="24" customHeight="1">
      <x:c r="A76" s="2" t="str">
        <x:v>三軌共同毛利率變動高端</x:v>
      </x:c>
      <x:c r="B76" s="2" t="str">
        <x:v>shock</x:v>
      </x:c>
      <x:c r="C76" s="2" t="str"/>
      <x:c r="D76" s="11" t="n">
        <x:f>D13</x:f>
        <x:v>0.03</x:v>
      </x:c>
      <x:c r="E76" s="11" t="n">
        <x:f>0</x:f>
        <x:v>0</x:v>
      </x:c>
      <x:c r="F76" s="11" t="n">
        <x:f>'參數'!$C$47</x:f>
        <x:v>0</x:v>
      </x:c>
      <x:c r="G76" s="11" t="n">
        <x:f>'參數'!$C$48</x:f>
        <x:v>0</x:v>
      </x:c>
      <x:c r="H76" s="11" t="n">
        <x:f>'參數'!$C$49</x:f>
        <x:v>0</x:v>
      </x:c>
      <x:c r="I76" s="11" t="n">
        <x:f>F76+IF($B76="pE",$D76,IF($C76="pE",$E76,'參數'!$C$5))*IF($B76="scale",$D76,IF($C76="scale",$E76,'參數'!$C$8))</x:f>
        <x:v>10</x:v>
      </x:c>
      <x:c r="J76" s="11" t="n">
        <x:f>G76+IF($B76="pM",$D76,IF($C76="pM",$E76,'參數'!$C$6))*IF($B76="scale",$D76,IF($C76="scale",$E76,'參數'!$C$8))</x:f>
        <x:v>15</x:v>
      </x:c>
      <x:c r="K76" s="11" t="n">
        <x:f>H76+IF($B76="pA",$D76,IF($C76="pA",$E76,'參數'!$C$7))*IF($B76="scale",$D76,IF($C76="scale",$E76,'參數'!$C$8))</x:f>
        <x:v>50</x:v>
      </x:c>
      <x:c r="L76" s="11" t="n">
        <x:f>I76*IF($B76="winE",$D76,IF($C76="winE",$E76,'參數'!$C$9))</x:f>
        <x:v>4</x:v>
      </x:c>
      <x:c r="M76" s="28" t="n">
        <x:f>J76*IF($B76="winM",$D76,IF($C76="winM",$E76,'參數'!$C$10))</x:f>
        <x:v>6</x:v>
      </x:c>
      <x:c r="N76" s="28" t="n">
        <x:f>MIN(K76,IF($B76="readyA",$D76,IF($C76="readyA",$E76,'參數'!$C$11))*IF($B76="gateA",$D76,IF($C76="gateA",$E76,'參數'!$C$12)))</x:f>
        <x:v>10</x:v>
      </x:c>
      <x:c r="O76" s="28" t="n">
        <x:f>L76+M76+N76</x:f>
        <x:v>20</x:v>
      </x:c>
      <x:c r="P76" s="28" t="n">
        <x:f>(I76-L76)*IF($B76="attrition",$D76,IF($C76="attrition",$E76,'參數'!$C$13))</x:f>
        <x:v>1.2000000000000002</x:v>
      </x:c>
      <x:c r="Q76" s="28" t="n">
        <x:f>(J76-M76)*IF($B76="attrition",$D76,IF($C76="attrition",$E76,'參數'!$C$13))</x:f>
        <x:v>1.8</x:v>
      </x:c>
      <x:c r="R76" s="28" t="n">
        <x:f>(K76-N76)*IF($B76="attrition",$D76,IF($C76="attrition",$E76,'參數'!$C$13))</x:f>
        <x:v>8</x:v>
      </x:c>
      <x:c r="S76" s="28" t="n">
        <x:f>I76-L76-P76</x:f>
        <x:v>4.8</x:v>
      </x:c>
      <x:c r="T76" s="28" t="n">
        <x:f>J76-M76-Q76</x:f>
        <x:v>7.2</x:v>
      </x:c>
      <x:c r="U76" s="28" t="n">
        <x:f>K76-N76-R76</x:f>
        <x:v>32</x:v>
      </x:c>
      <x:c r="V76" s="28" t="n">
        <x:f>'參數'!$C$44</x:f>
        <x:v>0</x:v>
      </x:c>
      <x:c r="W76" s="28" t="n">
        <x:f>'參數'!$C$45</x:f>
        <x:v>0</x:v>
      </x:c>
      <x:c r="X76" s="28" t="n">
        <x:f>'參數'!$C$46</x:f>
        <x:v>0</x:v>
      </x:c>
      <x:c r="Y76" s="28" t="n">
        <x:f>V76*IF($B76="relE",$D76,IF($C76="relE",$E76,'參數'!$C$17))+L76*IF($B76="nowE",$D76,IF($C76="nowE",$E76,'參數'!$C$14))</x:f>
        <x:v>4</x:v>
      </x:c>
      <x:c r="Z76" s="28" t="n">
        <x:f>W76*IF($B76="relM",$D76,IF($C76="relM",$E76,'參數'!$C$18))+M76*IF($B76="nowM",$D76,IF($C76="nowM",$E76,'參數'!$C$15))</x:f>
        <x:v>6</x:v>
      </x:c>
      <x:c r="AA76" s="28" t="n">
        <x:f>X76*IF($B76="relA",$D76,IF($C76="relA",$E76,'參數'!$C$19))+N76*IF($B76="nowA",$D76,IF($C76="nowA",$E76,'參數'!$C$16))</x:f>
        <x:v>0</x:v>
      </x:c>
      <x:c r="AB76" s="28" t="n">
        <x:f>Y76+Z76+AA76</x:f>
        <x:v>10</x:v>
      </x:c>
      <x:c r="AC76" s="28" t="n">
        <x:f>IF($B76="capacity",$D76,IF($C76="capacity",$E76,'參數'!$C$20))</x:f>
        <x:v>10</x:v>
      </x:c>
      <x:c r="AD76" s="28" t="n">
        <x:f>IF(AC76=0,0,AB76/AC76)</x:f>
        <x:v>1</x:v>
      </x:c>
      <x:c r="AE76" s="29" t="n">
        <x:f>MAX(0,AD76-1)*IF($B76="congestion",$D76,IF($C76="congestion",$E76,'參數'!$C$28))</x:f>
        <x:v>0</x:v>
      </x:c>
      <x:c r="AF76" s="29" t="n">
        <x:f>1-(1-(IF($B76="gmE",$D76,IF($C76="gmE",$E76,'參數'!$C$21))+IF($B76="shock",$D76,IF($C76="shock",$E76,'參數'!$C$26))))*(1+IF($B76="inflation",$D76,IF($C76="inflation",$E76,'參數'!$C$27)))-AE76</x:f>
        <x:v>0.15000000000000002</x:v>
      </x:c>
      <x:c r="AG76" s="29" t="n">
        <x:f>1-(1-(IF($B76="gmM",$D76,IF($C76="gmM",$E76,'參數'!$C$22))+IF($B76="dev",$D76,IF($C76="dev",$E76,'參數'!$C$23))*IF($B76="devReal",$D76,IF($C76="devReal",$E76,'參數'!$C$24))+IF($B76="shock",$D76,IF($C76="shock",$E76,'參數'!$C$26))))*(1+IF($B76="inflation",$D76,IF($C76="inflation",$E76,'參數'!$C$27)))-AE76</x:f>
        <x:v>0.20999999999999996</x:v>
      </x:c>
      <x:c r="AH76" s="29" t="n">
        <x:f>1-(1-(IF($B76="gmA",$D76,IF($C76="gmA",$E76,'參數'!$C$25))+IF($B76="shock",$D76,IF($C76="shock",$E76,'參數'!$C$26))))*(1+IF($B76="inflation",$D76,IF($C76="inflation",$E76,'參數'!$C$27)))-AE76</x:f>
        <x:v>0.18999999999999995</x:v>
      </x:c>
      <x:c r="AI76" s="29" t="n">
        <x:f>IF(AB76=0,0,(Y76*AF76+Z76*AG76+AA76*AH76)/AB76)</x:f>
        <x:v>0.186</x:v>
      </x:c>
      <x:c r="AJ76" s="28" t="n">
        <x:f>'參數'!$C$43</x:f>
        <x:v>1</x:v>
      </x:c>
      <x:c r="AK76" s="28" t="n">
        <x:f>MAX(0,(IF($B76="dso",$D76,IF($C76="dso",$E76,'參數'!$C$32))-(1-AI76)*IF($B76="dpo",$D76,IF($C76="dpo",$E76,'參數'!$C$33)))/365)</x:f>
        <x:v>0.11276712328767122</x:v>
      </x:c>
      <x:c r="AL76" s="28" t="n">
        <x:f>IF(AK76=0,AB76,(MAX(0,AJ76)+IF($B76="credit",$D76,IF($C76="credit",$E76,'參數'!$C$37)))/AK76)</x:f>
        <x:v>35.47133138969874</x:v>
      </x:c>
      <x:c r="AM76" s="28" t="n">
        <x:f>MIN(AB76,AC76,AL76)</x:f>
        <x:v>10</x:v>
      </x:c>
      <x:c r="AN76" s="28" t="n">
        <x:f>IF(AB76=0,0,AM76*Y76/AB76)</x:f>
        <x:v>4</x:v>
      </x:c>
      <x:c r="AO76" s="28" t="n">
        <x:f>IF(AB76=0,0,AM76*Z76/AB76)</x:f>
        <x:v>6</x:v>
      </x:c>
      <x:c r="AP76" s="28" t="n">
        <x:f>IF(AB76=0,0,AM76*AA76/AB76)</x:f>
        <x:v>0</x:v>
      </x:c>
      <x:c r="AQ76" s="28" t="n">
        <x:f>V76+L76-AN76</x:f>
        <x:v>0</x:v>
      </x:c>
      <x:c r="AR76" s="28" t="n">
        <x:f>W76+M76-AO76</x:f>
        <x:v>0</x:v>
      </x:c>
      <x:c r="AS76" s="28" t="n">
        <x:f>X76+N76-AP76</x:f>
        <x:v>10</x:v>
      </x:c>
      <x:c r="AT76" s="28" t="n">
        <x:f>AQ76+AR76+AS76</x:f>
        <x:v>10</x:v>
      </x:c>
      <x:c r="AU76" s="28" t="n">
        <x:f>AN76*(1-AF76)+AO76*(1-AG76)+AP76*(1-AH76)</x:f>
        <x:v>8.14</x:v>
      </x:c>
      <x:c r="AV76" s="28" t="n">
        <x:f>AM76-AU76</x:f>
        <x:v>1.8599999999999994</x:v>
      </x:c>
      <x:c r="AW76" s="29" t="n">
        <x:f>IF(AM76=0,0,AV76/AM76)</x:f>
        <x:v>0.18599999999999994</x:v>
      </x:c>
      <x:c r="AX76" s="28" t="n">
        <x:f>IF($B76="head",$D76,IF($C76="head",$E76,'參數'!$C$29))*IF($B76="wage",$D76,IF($C76="wage",$E76,'參數'!$C$30))</x:f>
        <x:v>0.22</x:v>
      </x:c>
      <x:c r="AY76" s="28" t="n">
        <x:f>IF($B76="opex",$D76,IF($C76="opex",$E76,'參數'!$C$31))</x:f>
        <x:v>0.23</x:v>
      </x:c>
      <x:c r="AZ76" s="28" t="n">
        <x:f>AX76+AY76</x:f>
        <x:v>0.45</x:v>
      </x:c>
      <x:c r="BA76" s="28" t="n">
        <x:f>AV76-AZ76</x:f>
        <x:v>1.4099999999999995</x:v>
      </x:c>
      <x:c r="BB76" s="28" t="n">
        <x:f>AM76*AK76</x:f>
        <x:v>1.1276712328767122</x:v>
      </x:c>
      <x:c r="BC76" s="28" t="n">
        <x:f>0</x:f>
        <x:v>0</x:v>
      </x:c>
      <x:c r="BD76" s="28" t="n">
        <x:f>MAX(0,BB76-MAX(0,AJ76))</x:f>
        <x:v>0.12767123287671223</x:v>
      </x:c>
      <x:c r="BE76" s="28" t="n">
        <x:f>(BC76+BD76)/2</x:f>
        <x:v>0.06383561643835611</x:v>
      </x:c>
      <x:c r="BF76" s="28" t="n">
        <x:f>BE76*IF($B76="rate",$D76,IF($C76="rate",$E76,'參數'!$C$34))</x:f>
        <x:v>0.0025534246575342444</x:v>
      </x:c>
      <x:c r="BG76" s="28" t="n">
        <x:f>IF($B76="nonop",$D76,IF($C76="nonop",$E76,'參數'!$C$36))</x:f>
        <x:v>0.02</x:v>
      </x:c>
      <x:c r="BH76" s="28" t="n">
        <x:f>BA76+BG76-BF76</x:f>
        <x:v>1.4274465753424652</x:v>
      </x:c>
      <x:c r="BI76" s="28" t="n">
        <x:f>MAX(0,BH76)*IF($B76="tax",$D76,IF($C76="tax",$E76,'參數'!$C$35))</x:f>
        <x:v>0.28548931506849307</x:v>
      </x:c>
      <x:c r="BJ76" s="28" t="n">
        <x:f>BH76-BI76</x:f>
        <x:v>1.1419572602739723</x:v>
      </x:c>
      <x:c r="BK76" s="29" t="n">
        <x:f>IF(AM76=0,0,BJ76/AM76)</x:f>
        <x:v>0.11419572602739722</x:v>
      </x:c>
      <x:c r="BL76" s="28" t="n">
        <x:f>IF(BJ76&gt;=0,BJ76*IF($B76="retain",$D76,IF($C76="retain",$E76,'參數'!$C$38)),BJ76)</x:f>
        <x:v>0.5709786301369861</x:v>
      </x:c>
      <x:c r="BM76" s="28" t="n">
        <x:f>AJ76+BL76</x:f>
        <x:v>1.5709786301369861</x:v>
      </x:c>
      <x:c r="BN76" s="28" t="n">
        <x:f>MAX(0,AB76-AC76)</x:f>
        <x:v>0</x:v>
      </x:c>
      <x:c r="BO76" s="28" t="n">
        <x:f>MAX(0,MIN(AB76,AC76)-AM76)</x:f>
        <x:v>0</x:v>
      </x:c>
    </x:row>
    <x:row r="77" ht="24" customHeight="1">
      <x:c r="A77" s="2" t="str">
        <x:v>開發毛利加成實現率低端</x:v>
      </x:c>
      <x:c r="B77" s="2" t="str">
        <x:v>devReal</x:v>
      </x:c>
      <x:c r="C77" s="2" t="str"/>
      <x:c r="D77" s="11" t="n">
        <x:f>C14</x:f>
        <x:v>0.5</x:v>
      </x:c>
      <x:c r="E77" s="11" t="n">
        <x:f>0</x:f>
        <x:v>0</x:v>
      </x:c>
      <x:c r="F77" s="11" t="n">
        <x:f>'參數'!$C$47</x:f>
        <x:v>0</x:v>
      </x:c>
      <x:c r="G77" s="11" t="n">
        <x:f>'參數'!$C$48</x:f>
        <x:v>0</x:v>
      </x:c>
      <x:c r="H77" s="11" t="n">
        <x:f>'參數'!$C$49</x:f>
        <x:v>0</x:v>
      </x:c>
      <x:c r="I77" s="11" t="n">
        <x:f>F77+IF($B77="pE",$D77,IF($C77="pE",$E77,'參數'!$C$5))*IF($B77="scale",$D77,IF($C77="scale",$E77,'參數'!$C$8))</x:f>
        <x:v>10</x:v>
      </x:c>
      <x:c r="J77" s="11" t="n">
        <x:f>G77+IF($B77="pM",$D77,IF($C77="pM",$E77,'參數'!$C$6))*IF($B77="scale",$D77,IF($C77="scale",$E77,'參數'!$C$8))</x:f>
        <x:v>15</x:v>
      </x:c>
      <x:c r="K77" s="11" t="n">
        <x:f>H77+IF($B77="pA",$D77,IF($C77="pA",$E77,'參數'!$C$7))*IF($B77="scale",$D77,IF($C77="scale",$E77,'參數'!$C$8))</x:f>
        <x:v>50</x:v>
      </x:c>
      <x:c r="L77" s="11" t="n">
        <x:f>I77*IF($B77="winE",$D77,IF($C77="winE",$E77,'參數'!$C$9))</x:f>
        <x:v>4</x:v>
      </x:c>
      <x:c r="M77" s="28" t="n">
        <x:f>J77*IF($B77="winM",$D77,IF($C77="winM",$E77,'參數'!$C$10))</x:f>
        <x:v>6</x:v>
      </x:c>
      <x:c r="N77" s="28" t="n">
        <x:f>MIN(K77,IF($B77="readyA",$D77,IF($C77="readyA",$E77,'參數'!$C$11))*IF($B77="gateA",$D77,IF($C77="gateA",$E77,'參數'!$C$12)))</x:f>
        <x:v>10</x:v>
      </x:c>
      <x:c r="O77" s="28" t="n">
        <x:f>L77+M77+N77</x:f>
        <x:v>20</x:v>
      </x:c>
      <x:c r="P77" s="28" t="n">
        <x:f>(I77-L77)*IF($B77="attrition",$D77,IF($C77="attrition",$E77,'參數'!$C$13))</x:f>
        <x:v>1.2000000000000002</x:v>
      </x:c>
      <x:c r="Q77" s="28" t="n">
        <x:f>(J77-M77)*IF($B77="attrition",$D77,IF($C77="attrition",$E77,'參數'!$C$13))</x:f>
        <x:v>1.8</x:v>
      </x:c>
      <x:c r="R77" s="28" t="n">
        <x:f>(K77-N77)*IF($B77="attrition",$D77,IF($C77="attrition",$E77,'參數'!$C$13))</x:f>
        <x:v>8</x:v>
      </x:c>
      <x:c r="S77" s="28" t="n">
        <x:f>I77-L77-P77</x:f>
        <x:v>4.8</x:v>
      </x:c>
      <x:c r="T77" s="28" t="n">
        <x:f>J77-M77-Q77</x:f>
        <x:v>7.2</x:v>
      </x:c>
      <x:c r="U77" s="28" t="n">
        <x:f>K77-N77-R77</x:f>
        <x:v>32</x:v>
      </x:c>
      <x:c r="V77" s="28" t="n">
        <x:f>'參數'!$C$44</x:f>
        <x:v>0</x:v>
      </x:c>
      <x:c r="W77" s="28" t="n">
        <x:f>'參數'!$C$45</x:f>
        <x:v>0</x:v>
      </x:c>
      <x:c r="X77" s="28" t="n">
        <x:f>'參數'!$C$46</x:f>
        <x:v>0</x:v>
      </x:c>
      <x:c r="Y77" s="28" t="n">
        <x:f>V77*IF($B77="relE",$D77,IF($C77="relE",$E77,'參數'!$C$17))+L77*IF($B77="nowE",$D77,IF($C77="nowE",$E77,'參數'!$C$14))</x:f>
        <x:v>4</x:v>
      </x:c>
      <x:c r="Z77" s="28" t="n">
        <x:f>W77*IF($B77="relM",$D77,IF($C77="relM",$E77,'參數'!$C$18))+M77*IF($B77="nowM",$D77,IF($C77="nowM",$E77,'參數'!$C$15))</x:f>
        <x:v>6</x:v>
      </x:c>
      <x:c r="AA77" s="28" t="n">
        <x:f>X77*IF($B77="relA",$D77,IF($C77="relA",$E77,'參數'!$C$19))+N77*IF($B77="nowA",$D77,IF($C77="nowA",$E77,'參數'!$C$16))</x:f>
        <x:v>0</x:v>
      </x:c>
      <x:c r="AB77" s="28" t="n">
        <x:f>Y77+Z77+AA77</x:f>
        <x:v>10</x:v>
      </x:c>
      <x:c r="AC77" s="28" t="n">
        <x:f>IF($B77="capacity",$D77,IF($C77="capacity",$E77,'參數'!$C$20))</x:f>
        <x:v>10</x:v>
      </x:c>
      <x:c r="AD77" s="28" t="n">
        <x:f>IF(AC77=0,0,AB77/AC77)</x:f>
        <x:v>1</x:v>
      </x:c>
      <x:c r="AE77" s="29" t="n">
        <x:f>MAX(0,AD77-1)*IF($B77="congestion",$D77,IF($C77="congestion",$E77,'參數'!$C$28))</x:f>
        <x:v>0</x:v>
      </x:c>
      <x:c r="AF77" s="29" t="n">
        <x:f>1-(1-(IF($B77="gmE",$D77,IF($C77="gmE",$E77,'參數'!$C$21))+IF($B77="shock",$D77,IF($C77="shock",$E77,'參數'!$C$26))))*(1+IF($B77="inflation",$D77,IF($C77="inflation",$E77,'參數'!$C$27)))-AE77</x:f>
        <x:v>0.12</x:v>
      </x:c>
      <x:c r="AG77" s="29" t="n">
        <x:f>1-(1-(IF($B77="gmM",$D77,IF($C77="gmM",$E77,'參數'!$C$22))+IF($B77="dev",$D77,IF($C77="dev",$E77,'參數'!$C$23))*IF($B77="devReal",$D77,IF($C77="devReal",$E77,'參數'!$C$24))+IF($B77="shock",$D77,IF($C77="shock",$E77,'參數'!$C$26))))*(1+IF($B77="inflation",$D77,IF($C77="inflation",$E77,'參數'!$C$27)))-AE77</x:f>
        <x:v>0.15000000000000002</x:v>
      </x:c>
      <x:c r="AH77" s="29" t="n">
        <x:f>1-(1-(IF($B77="gmA",$D77,IF($C77="gmA",$E77,'參數'!$C$25))+IF($B77="shock",$D77,IF($C77="shock",$E77,'參數'!$C$26))))*(1+IF($B77="inflation",$D77,IF($C77="inflation",$E77,'參數'!$C$27)))-AE77</x:f>
        <x:v>0.16000000000000003</x:v>
      </x:c>
      <x:c r="AI77" s="29" t="n">
        <x:f>IF(AB77=0,0,(Y77*AF77+Z77*AG77+AA77*AH77)/AB77)</x:f>
        <x:v>0.138</x:v>
      </x:c>
      <x:c r="AJ77" s="28" t="n">
        <x:f>'參數'!$C$43</x:f>
        <x:v>1</x:v>
      </x:c>
      <x:c r="AK77" s="28" t="n">
        <x:f>MAX(0,(IF($B77="dso",$D77,IF($C77="dso",$E77,'參數'!$C$32))-(1-AI77)*IF($B77="dpo",$D77,IF($C77="dpo",$E77,'參數'!$C$33)))/365)</x:f>
        <x:v>0.10487671232876712</x:v>
      </x:c>
      <x:c r="AL77" s="28" t="n">
        <x:f>IF(AK77=0,AB77,(MAX(0,AJ77)+IF($B77="credit",$D77,IF($C77="credit",$E77,'參數'!$C$37)))/AK77)</x:f>
        <x:v>38.14002089864159</x:v>
      </x:c>
      <x:c r="AM77" s="28" t="n">
        <x:f>MIN(AB77,AC77,AL77)</x:f>
        <x:v>10</x:v>
      </x:c>
      <x:c r="AN77" s="28" t="n">
        <x:f>IF(AB77=0,0,AM77*Y77/AB77)</x:f>
        <x:v>4</x:v>
      </x:c>
      <x:c r="AO77" s="28" t="n">
        <x:f>IF(AB77=0,0,AM77*Z77/AB77)</x:f>
        <x:v>6</x:v>
      </x:c>
      <x:c r="AP77" s="28" t="n">
        <x:f>IF(AB77=0,0,AM77*AA77/AB77)</x:f>
        <x:v>0</x:v>
      </x:c>
      <x:c r="AQ77" s="28" t="n">
        <x:f>V77+L77-AN77</x:f>
        <x:v>0</x:v>
      </x:c>
      <x:c r="AR77" s="28" t="n">
        <x:f>W77+M77-AO77</x:f>
        <x:v>0</x:v>
      </x:c>
      <x:c r="AS77" s="28" t="n">
        <x:f>X77+N77-AP77</x:f>
        <x:v>10</x:v>
      </x:c>
      <x:c r="AT77" s="28" t="n">
        <x:f>AQ77+AR77+AS77</x:f>
        <x:v>10</x:v>
      </x:c>
      <x:c r="AU77" s="28" t="n">
        <x:f>AN77*(1-AF77)+AO77*(1-AG77)+AP77*(1-AH77)</x:f>
        <x:v>8.62</x:v>
      </x:c>
      <x:c r="AV77" s="28" t="n">
        <x:f>AM77-AU77</x:f>
        <x:v>1.3800000000000008</x:v>
      </x:c>
      <x:c r="AW77" s="29" t="n">
        <x:f>IF(AM77=0,0,AV77/AM77)</x:f>
        <x:v>0.13800000000000007</x:v>
      </x:c>
      <x:c r="AX77" s="28" t="n">
        <x:f>IF($B77="head",$D77,IF($C77="head",$E77,'參數'!$C$29))*IF($B77="wage",$D77,IF($C77="wage",$E77,'參數'!$C$30))</x:f>
        <x:v>0.22</x:v>
      </x:c>
      <x:c r="AY77" s="28" t="n">
        <x:f>IF($B77="opex",$D77,IF($C77="opex",$E77,'參數'!$C$31))</x:f>
        <x:v>0.23</x:v>
      </x:c>
      <x:c r="AZ77" s="28" t="n">
        <x:f>AX77+AY77</x:f>
        <x:v>0.45</x:v>
      </x:c>
      <x:c r="BA77" s="28" t="n">
        <x:f>AV77-AZ77</x:f>
        <x:v>0.9300000000000008</x:v>
      </x:c>
      <x:c r="BB77" s="28" t="n">
        <x:f>AM77*AK77</x:f>
        <x:v>1.0487671232876712</x:v>
      </x:c>
      <x:c r="BC77" s="28" t="n">
        <x:f>0</x:f>
        <x:v>0</x:v>
      </x:c>
      <x:c r="BD77" s="28" t="n">
        <x:f>MAX(0,BB77-MAX(0,AJ77))</x:f>
        <x:v>0.04876712328767119</x:v>
      </x:c>
      <x:c r="BE77" s="28" t="n">
        <x:f>(BC77+BD77)/2</x:f>
        <x:v>0.024383561643835594</x:v>
      </x:c>
      <x:c r="BF77" s="28" t="n">
        <x:f>BE77*IF($B77="rate",$D77,IF($C77="rate",$E77,'參數'!$C$34))</x:f>
        <x:v>0.0009753424657534238</x:v>
      </x:c>
      <x:c r="BG77" s="28" t="n">
        <x:f>IF($B77="nonop",$D77,IF($C77="nonop",$E77,'參數'!$C$36))</x:f>
        <x:v>0.02</x:v>
      </x:c>
      <x:c r="BH77" s="28" t="n">
        <x:f>BA77+BG77-BF77</x:f>
        <x:v>0.9490246575342475</x:v>
      </x:c>
      <x:c r="BI77" s="28" t="n">
        <x:f>MAX(0,BH77)*IF($B77="tax",$D77,IF($C77="tax",$E77,'參數'!$C$35))</x:f>
        <x:v>0.18980493150684952</x:v>
      </x:c>
      <x:c r="BJ77" s="28" t="n">
        <x:f>BH77-BI77</x:f>
        <x:v>0.759219726027398</x:v>
      </x:c>
      <x:c r="BK77" s="29" t="n">
        <x:f>IF(AM77=0,0,BJ77/AM77)</x:f>
        <x:v>0.07592197260273979</x:v>
      </x:c>
      <x:c r="BL77" s="28" t="n">
        <x:f>IF(BJ77&gt;=0,BJ77*IF($B77="retain",$D77,IF($C77="retain",$E77,'參數'!$C$38)),BJ77)</x:f>
        <x:v>0.379609863013699</x:v>
      </x:c>
      <x:c r="BM77" s="28" t="n">
        <x:f>AJ77+BL77</x:f>
        <x:v>1.379609863013699</x:v>
      </x:c>
      <x:c r="BN77" s="28" t="n">
        <x:f>MAX(0,AB77-AC77)</x:f>
        <x:v>0</x:v>
      </x:c>
      <x:c r="BO77" s="28" t="n">
        <x:f>MAX(0,MIN(AB77,AC77)-AM77)</x:f>
        <x:v>0</x:v>
      </x:c>
    </x:row>
    <x:row r="78" ht="24" customHeight="1">
      <x:c r="A78" s="2" t="str">
        <x:v>開發毛利加成實現率高端</x:v>
      </x:c>
      <x:c r="B78" s="2" t="str">
        <x:v>devReal</x:v>
      </x:c>
      <x:c r="C78" s="2" t="str"/>
      <x:c r="D78" s="11" t="n">
        <x:f>D14</x:f>
        <x:v>1</x:v>
      </x:c>
      <x:c r="E78" s="11" t="n">
        <x:f>0</x:f>
        <x:v>0</x:v>
      </x:c>
      <x:c r="F78" s="11" t="n">
        <x:f>'參數'!$C$47</x:f>
        <x:v>0</x:v>
      </x:c>
      <x:c r="G78" s="11" t="n">
        <x:f>'參數'!$C$48</x:f>
        <x:v>0</x:v>
      </x:c>
      <x:c r="H78" s="11" t="n">
        <x:f>'參數'!$C$49</x:f>
        <x:v>0</x:v>
      </x:c>
      <x:c r="I78" s="11" t="n">
        <x:f>F78+IF($B78="pE",$D78,IF($C78="pE",$E78,'參數'!$C$5))*IF($B78="scale",$D78,IF($C78="scale",$E78,'參數'!$C$8))</x:f>
        <x:v>10</x:v>
      </x:c>
      <x:c r="J78" s="11" t="n">
        <x:f>G78+IF($B78="pM",$D78,IF($C78="pM",$E78,'參數'!$C$6))*IF($B78="scale",$D78,IF($C78="scale",$E78,'參數'!$C$8))</x:f>
        <x:v>15</x:v>
      </x:c>
      <x:c r="K78" s="11" t="n">
        <x:f>H78+IF($B78="pA",$D78,IF($C78="pA",$E78,'參數'!$C$7))*IF($B78="scale",$D78,IF($C78="scale",$E78,'參數'!$C$8))</x:f>
        <x:v>50</x:v>
      </x:c>
      <x:c r="L78" s="11" t="n">
        <x:f>I78*IF($B78="winE",$D78,IF($C78="winE",$E78,'參數'!$C$9))</x:f>
        <x:v>4</x:v>
      </x:c>
      <x:c r="M78" s="28" t="n">
        <x:f>J78*IF($B78="winM",$D78,IF($C78="winM",$E78,'參數'!$C$10))</x:f>
        <x:v>6</x:v>
      </x:c>
      <x:c r="N78" s="28" t="n">
        <x:f>MIN(K78,IF($B78="readyA",$D78,IF($C78="readyA",$E78,'參數'!$C$11))*IF($B78="gateA",$D78,IF($C78="gateA",$E78,'參數'!$C$12)))</x:f>
        <x:v>10</x:v>
      </x:c>
      <x:c r="O78" s="28" t="n">
        <x:f>L78+M78+N78</x:f>
        <x:v>20</x:v>
      </x:c>
      <x:c r="P78" s="28" t="n">
        <x:f>(I78-L78)*IF($B78="attrition",$D78,IF($C78="attrition",$E78,'參數'!$C$13))</x:f>
        <x:v>1.2000000000000002</x:v>
      </x:c>
      <x:c r="Q78" s="28" t="n">
        <x:f>(J78-M78)*IF($B78="attrition",$D78,IF($C78="attrition",$E78,'參數'!$C$13))</x:f>
        <x:v>1.8</x:v>
      </x:c>
      <x:c r="R78" s="28" t="n">
        <x:f>(K78-N78)*IF($B78="attrition",$D78,IF($C78="attrition",$E78,'參數'!$C$13))</x:f>
        <x:v>8</x:v>
      </x:c>
      <x:c r="S78" s="28" t="n">
        <x:f>I78-L78-P78</x:f>
        <x:v>4.8</x:v>
      </x:c>
      <x:c r="T78" s="28" t="n">
        <x:f>J78-M78-Q78</x:f>
        <x:v>7.2</x:v>
      </x:c>
      <x:c r="U78" s="28" t="n">
        <x:f>K78-N78-R78</x:f>
        <x:v>32</x:v>
      </x:c>
      <x:c r="V78" s="28" t="n">
        <x:f>'參數'!$C$44</x:f>
        <x:v>0</x:v>
      </x:c>
      <x:c r="W78" s="28" t="n">
        <x:f>'參數'!$C$45</x:f>
        <x:v>0</x:v>
      </x:c>
      <x:c r="X78" s="28" t="n">
        <x:f>'參數'!$C$46</x:f>
        <x:v>0</x:v>
      </x:c>
      <x:c r="Y78" s="28" t="n">
        <x:f>V78*IF($B78="relE",$D78,IF($C78="relE",$E78,'參數'!$C$17))+L78*IF($B78="nowE",$D78,IF($C78="nowE",$E78,'參數'!$C$14))</x:f>
        <x:v>4</x:v>
      </x:c>
      <x:c r="Z78" s="28" t="n">
        <x:f>W78*IF($B78="relM",$D78,IF($C78="relM",$E78,'參數'!$C$18))+M78*IF($B78="nowM",$D78,IF($C78="nowM",$E78,'參數'!$C$15))</x:f>
        <x:v>6</x:v>
      </x:c>
      <x:c r="AA78" s="28" t="n">
        <x:f>X78*IF($B78="relA",$D78,IF($C78="relA",$E78,'參數'!$C$19))+N78*IF($B78="nowA",$D78,IF($C78="nowA",$E78,'參數'!$C$16))</x:f>
        <x:v>0</x:v>
      </x:c>
      <x:c r="AB78" s="28" t="n">
        <x:f>Y78+Z78+AA78</x:f>
        <x:v>10</x:v>
      </x:c>
      <x:c r="AC78" s="28" t="n">
        <x:f>IF($B78="capacity",$D78,IF($C78="capacity",$E78,'參數'!$C$20))</x:f>
        <x:v>10</x:v>
      </x:c>
      <x:c r="AD78" s="28" t="n">
        <x:f>IF(AC78=0,0,AB78/AC78)</x:f>
        <x:v>1</x:v>
      </x:c>
      <x:c r="AE78" s="29" t="n">
        <x:f>MAX(0,AD78-1)*IF($B78="congestion",$D78,IF($C78="congestion",$E78,'參數'!$C$28))</x:f>
        <x:v>0</x:v>
      </x:c>
      <x:c r="AF78" s="29" t="n">
        <x:f>1-(1-(IF($B78="gmE",$D78,IF($C78="gmE",$E78,'參數'!$C$21))+IF($B78="shock",$D78,IF($C78="shock",$E78,'參數'!$C$26))))*(1+IF($B78="inflation",$D78,IF($C78="inflation",$E78,'參數'!$C$27)))-AE78</x:f>
        <x:v>0.12</x:v>
      </x:c>
      <x:c r="AG78" s="29" t="n">
        <x:f>1-(1-(IF($B78="gmM",$D78,IF($C78="gmM",$E78,'參數'!$C$22))+IF($B78="dev",$D78,IF($C78="dev",$E78,'參數'!$C$23))*IF($B78="devReal",$D78,IF($C78="devReal",$E78,'參數'!$C$24))+IF($B78="shock",$D78,IF($C78="shock",$E78,'參數'!$C$26))))*(1+IF($B78="inflation",$D78,IF($C78="inflation",$E78,'參數'!$C$27)))-AE78</x:f>
        <x:v>0.17999999999999994</x:v>
      </x:c>
      <x:c r="AH78" s="29" t="n">
        <x:f>1-(1-(IF($B78="gmA",$D78,IF($C78="gmA",$E78,'參數'!$C$25))+IF($B78="shock",$D78,IF($C78="shock",$E78,'參數'!$C$26))))*(1+IF($B78="inflation",$D78,IF($C78="inflation",$E78,'參數'!$C$27)))-AE78</x:f>
        <x:v>0.16000000000000003</x:v>
      </x:c>
      <x:c r="AI78" s="29" t="n">
        <x:f>IF(AB78=0,0,(Y78*AF78+Z78*AG78+AA78*AH78)/AB78)</x:f>
        <x:v>0.15599999999999997</x:v>
      </x:c>
      <x:c r="AJ78" s="28" t="n">
        <x:f>'參數'!$C$43</x:f>
        <x:v>1</x:v>
      </x:c>
      <x:c r="AK78" s="28" t="n">
        <x:f>MAX(0,(IF($B78="dso",$D78,IF($C78="dso",$E78,'參數'!$C$32))-(1-AI78)*IF($B78="dpo",$D78,IF($C78="dpo",$E78,'參數'!$C$33)))/365)</x:f>
        <x:v>0.10783561643835614</x:v>
      </x:c>
      <x:c r="AL78" s="28" t="n">
        <x:f>IF(AK78=0,AB78,(MAX(0,AJ78)+IF($B78="credit",$D78,IF($C78="credit",$E78,'參數'!$C$37)))/AK78)</x:f>
        <x:v>37.09349593495936</x:v>
      </x:c>
      <x:c r="AM78" s="28" t="n">
        <x:f>MIN(AB78,AC78,AL78)</x:f>
        <x:v>10</x:v>
      </x:c>
      <x:c r="AN78" s="28" t="n">
        <x:f>IF(AB78=0,0,AM78*Y78/AB78)</x:f>
        <x:v>4</x:v>
      </x:c>
      <x:c r="AO78" s="28" t="n">
        <x:f>IF(AB78=0,0,AM78*Z78/AB78)</x:f>
        <x:v>6</x:v>
      </x:c>
      <x:c r="AP78" s="28" t="n">
        <x:f>IF(AB78=0,0,AM78*AA78/AB78)</x:f>
        <x:v>0</x:v>
      </x:c>
      <x:c r="AQ78" s="28" t="n">
        <x:f>V78+L78-AN78</x:f>
        <x:v>0</x:v>
      </x:c>
      <x:c r="AR78" s="28" t="n">
        <x:f>W78+M78-AO78</x:f>
        <x:v>0</x:v>
      </x:c>
      <x:c r="AS78" s="28" t="n">
        <x:f>X78+N78-AP78</x:f>
        <x:v>10</x:v>
      </x:c>
      <x:c r="AT78" s="28" t="n">
        <x:f>AQ78+AR78+AS78</x:f>
        <x:v>10</x:v>
      </x:c>
      <x:c r="AU78" s="28" t="n">
        <x:f>AN78*(1-AF78)+AO78*(1-AG78)+AP78*(1-AH78)</x:f>
        <x:v>8.44</x:v>
      </x:c>
      <x:c r="AV78" s="28" t="n">
        <x:f>AM78-AU78</x:f>
        <x:v>1.5600000000000005</x:v>
      </x:c>
      <x:c r="AW78" s="29" t="n">
        <x:f>IF(AM78=0,0,AV78/AM78)</x:f>
        <x:v>0.15600000000000006</x:v>
      </x:c>
      <x:c r="AX78" s="28" t="n">
        <x:f>IF($B78="head",$D78,IF($C78="head",$E78,'參數'!$C$29))*IF($B78="wage",$D78,IF($C78="wage",$E78,'參數'!$C$30))</x:f>
        <x:v>0.22</x:v>
      </x:c>
      <x:c r="AY78" s="28" t="n">
        <x:f>IF($B78="opex",$D78,IF($C78="opex",$E78,'參數'!$C$31))</x:f>
        <x:v>0.23</x:v>
      </x:c>
      <x:c r="AZ78" s="28" t="n">
        <x:f>AX78+AY78</x:f>
        <x:v>0.45</x:v>
      </x:c>
      <x:c r="BA78" s="28" t="n">
        <x:f>AV78-AZ78</x:f>
        <x:v>1.1100000000000005</x:v>
      </x:c>
      <x:c r="BB78" s="28" t="n">
        <x:f>AM78*AK78</x:f>
        <x:v>1.0783561643835613</x:v>
      </x:c>
      <x:c r="BC78" s="28" t="n">
        <x:f>0</x:f>
        <x:v>0</x:v>
      </x:c>
      <x:c r="BD78" s="28" t="n">
        <x:f>MAX(0,BB78-MAX(0,AJ78))</x:f>
        <x:v>0.0783561643835613</x:v>
      </x:c>
      <x:c r="BE78" s="28" t="n">
        <x:f>(BC78+BD78)/2</x:f>
        <x:v>0.03917808219178065</x:v>
      </x:c>
      <x:c r="BF78" s="28" t="n">
        <x:f>BE78*IF($B78="rate",$D78,IF($C78="rate",$E78,'參數'!$C$34))</x:f>
        <x:v>0.001567123287671226</x:v>
      </x:c>
      <x:c r="BG78" s="28" t="n">
        <x:f>IF($B78="nonop",$D78,IF($C78="nonop",$E78,'參數'!$C$36))</x:f>
        <x:v>0.02</x:v>
      </x:c>
      <x:c r="BH78" s="28" t="n">
        <x:f>BA78+BG78-BF78</x:f>
        <x:v>1.1284328767123293</x:v>
      </x:c>
      <x:c r="BI78" s="28" t="n">
        <x:f>MAX(0,BH78)*IF($B78="tax",$D78,IF($C78="tax",$E78,'參數'!$C$35))</x:f>
        <x:v>0.22568657534246586</x:v>
      </x:c>
      <x:c r="BJ78" s="28" t="n">
        <x:f>BH78-BI78</x:f>
        <x:v>0.9027463013698634</x:v>
      </x:c>
      <x:c r="BK78" s="29" t="n">
        <x:f>IF(AM78=0,0,BJ78/AM78)</x:f>
        <x:v>0.09027463013698635</x:v>
      </x:c>
      <x:c r="BL78" s="28" t="n">
        <x:f>IF(BJ78&gt;=0,BJ78*IF($B78="retain",$D78,IF($C78="retain",$E78,'參數'!$C$38)),BJ78)</x:f>
        <x:v>0.4513731506849317</x:v>
      </x:c>
      <x:c r="BM78" s="28" t="n">
        <x:f>AJ78+BL78</x:f>
        <x:v>1.4513731506849317</x:v>
      </x:c>
      <x:c r="BN78" s="28" t="n">
        <x:f>MAX(0,AB78-AC78)</x:f>
        <x:v>0</x:v>
      </x:c>
      <x:c r="BO78" s="28" t="n">
        <x:f>MAX(0,MIN(AB78,AC78)-AM78)</x:f>
        <x:v>0</x:v>
      </x:c>
    </x:row>
    <x:row r="79" ht="24" customHeight="1">
      <x:c r="A79" s="2" t="str">
        <x:v>直接成本漲價率低端</x:v>
      </x:c>
      <x:c r="B79" s="2" t="str">
        <x:v>inflation</x:v>
      </x:c>
      <x:c r="C79" s="2" t="str"/>
      <x:c r="D79" s="11" t="n">
        <x:f>C15</x:f>
        <x:v>0</x:v>
      </x:c>
      <x:c r="E79" s="11" t="n">
        <x:f>0</x:f>
        <x:v>0</x:v>
      </x:c>
      <x:c r="F79" s="11" t="n">
        <x:f>'參數'!$C$47</x:f>
        <x:v>0</x:v>
      </x:c>
      <x:c r="G79" s="11" t="n">
        <x:f>'參數'!$C$48</x:f>
        <x:v>0</x:v>
      </x:c>
      <x:c r="H79" s="11" t="n">
        <x:f>'參數'!$C$49</x:f>
        <x:v>0</x:v>
      </x:c>
      <x:c r="I79" s="11" t="n">
        <x:f>F79+IF($B79="pE",$D79,IF($C79="pE",$E79,'參數'!$C$5))*IF($B79="scale",$D79,IF($C79="scale",$E79,'參數'!$C$8))</x:f>
        <x:v>10</x:v>
      </x:c>
      <x:c r="J79" s="11" t="n">
        <x:f>G79+IF($B79="pM",$D79,IF($C79="pM",$E79,'參數'!$C$6))*IF($B79="scale",$D79,IF($C79="scale",$E79,'參數'!$C$8))</x:f>
        <x:v>15</x:v>
      </x:c>
      <x:c r="K79" s="11" t="n">
        <x:f>H79+IF($B79="pA",$D79,IF($C79="pA",$E79,'參數'!$C$7))*IF($B79="scale",$D79,IF($C79="scale",$E79,'參數'!$C$8))</x:f>
        <x:v>50</x:v>
      </x:c>
      <x:c r="L79" s="11" t="n">
        <x:f>I79*IF($B79="winE",$D79,IF($C79="winE",$E79,'參數'!$C$9))</x:f>
        <x:v>4</x:v>
      </x:c>
      <x:c r="M79" s="28" t="n">
        <x:f>J79*IF($B79="winM",$D79,IF($C79="winM",$E79,'參數'!$C$10))</x:f>
        <x:v>6</x:v>
      </x:c>
      <x:c r="N79" s="28" t="n">
        <x:f>MIN(K79,IF($B79="readyA",$D79,IF($C79="readyA",$E79,'參數'!$C$11))*IF($B79="gateA",$D79,IF($C79="gateA",$E79,'參數'!$C$12)))</x:f>
        <x:v>10</x:v>
      </x:c>
      <x:c r="O79" s="28" t="n">
        <x:f>L79+M79+N79</x:f>
        <x:v>20</x:v>
      </x:c>
      <x:c r="P79" s="28" t="n">
        <x:f>(I79-L79)*IF($B79="attrition",$D79,IF($C79="attrition",$E79,'參數'!$C$13))</x:f>
        <x:v>1.2000000000000002</x:v>
      </x:c>
      <x:c r="Q79" s="28" t="n">
        <x:f>(J79-M79)*IF($B79="attrition",$D79,IF($C79="attrition",$E79,'參數'!$C$13))</x:f>
        <x:v>1.8</x:v>
      </x:c>
      <x:c r="R79" s="28" t="n">
        <x:f>(K79-N79)*IF($B79="attrition",$D79,IF($C79="attrition",$E79,'參數'!$C$13))</x:f>
        <x:v>8</x:v>
      </x:c>
      <x:c r="S79" s="28" t="n">
        <x:f>I79-L79-P79</x:f>
        <x:v>4.8</x:v>
      </x:c>
      <x:c r="T79" s="28" t="n">
        <x:f>J79-M79-Q79</x:f>
        <x:v>7.2</x:v>
      </x:c>
      <x:c r="U79" s="28" t="n">
        <x:f>K79-N79-R79</x:f>
        <x:v>32</x:v>
      </x:c>
      <x:c r="V79" s="28" t="n">
        <x:f>'參數'!$C$44</x:f>
        <x:v>0</x:v>
      </x:c>
      <x:c r="W79" s="28" t="n">
        <x:f>'參數'!$C$45</x:f>
        <x:v>0</x:v>
      </x:c>
      <x:c r="X79" s="28" t="n">
        <x:f>'參數'!$C$46</x:f>
        <x:v>0</x:v>
      </x:c>
      <x:c r="Y79" s="28" t="n">
        <x:f>V79*IF($B79="relE",$D79,IF($C79="relE",$E79,'參數'!$C$17))+L79*IF($B79="nowE",$D79,IF($C79="nowE",$E79,'參數'!$C$14))</x:f>
        <x:v>4</x:v>
      </x:c>
      <x:c r="Z79" s="28" t="n">
        <x:f>W79*IF($B79="relM",$D79,IF($C79="relM",$E79,'參數'!$C$18))+M79*IF($B79="nowM",$D79,IF($C79="nowM",$E79,'參數'!$C$15))</x:f>
        <x:v>6</x:v>
      </x:c>
      <x:c r="AA79" s="28" t="n">
        <x:f>X79*IF($B79="relA",$D79,IF($C79="relA",$E79,'參數'!$C$19))+N79*IF($B79="nowA",$D79,IF($C79="nowA",$E79,'參數'!$C$16))</x:f>
        <x:v>0</x:v>
      </x:c>
      <x:c r="AB79" s="28" t="n">
        <x:f>Y79+Z79+AA79</x:f>
        <x:v>10</x:v>
      </x:c>
      <x:c r="AC79" s="28" t="n">
        <x:f>IF($B79="capacity",$D79,IF($C79="capacity",$E79,'參數'!$C$20))</x:f>
        <x:v>10</x:v>
      </x:c>
      <x:c r="AD79" s="28" t="n">
        <x:f>IF(AC79=0,0,AB79/AC79)</x:f>
        <x:v>1</x:v>
      </x:c>
      <x:c r="AE79" s="29" t="n">
        <x:f>MAX(0,AD79-1)*IF($B79="congestion",$D79,IF($C79="congestion",$E79,'參數'!$C$28))</x:f>
        <x:v>0</x:v>
      </x:c>
      <x:c r="AF79" s="29" t="n">
        <x:f>1-(1-(IF($B79="gmE",$D79,IF($C79="gmE",$E79,'參數'!$C$21))+IF($B79="shock",$D79,IF($C79="shock",$E79,'參數'!$C$26))))*(1+IF($B79="inflation",$D79,IF($C79="inflation",$E79,'參數'!$C$27)))-AE79</x:f>
        <x:v>0.12</x:v>
      </x:c>
      <x:c r="AG79" s="29" t="n">
        <x:f>1-(1-(IF($B79="gmM",$D79,IF($C79="gmM",$E79,'參數'!$C$22))+IF($B79="dev",$D79,IF($C79="dev",$E79,'參數'!$C$23))*IF($B79="devReal",$D79,IF($C79="devReal",$E79,'參數'!$C$24))+IF($B79="shock",$D79,IF($C79="shock",$E79,'參數'!$C$26))))*(1+IF($B79="inflation",$D79,IF($C79="inflation",$E79,'參數'!$C$27)))-AE79</x:f>
        <x:v>0.17999999999999994</x:v>
      </x:c>
      <x:c r="AH79" s="29" t="n">
        <x:f>1-(1-(IF($B79="gmA",$D79,IF($C79="gmA",$E79,'參數'!$C$25))+IF($B79="shock",$D79,IF($C79="shock",$E79,'參數'!$C$26))))*(1+IF($B79="inflation",$D79,IF($C79="inflation",$E79,'參數'!$C$27)))-AE79</x:f>
        <x:v>0.16000000000000003</x:v>
      </x:c>
      <x:c r="AI79" s="29" t="n">
        <x:f>IF(AB79=0,0,(Y79*AF79+Z79*AG79+AA79*AH79)/AB79)</x:f>
        <x:v>0.15599999999999997</x:v>
      </x:c>
      <x:c r="AJ79" s="28" t="n">
        <x:f>'參數'!$C$43</x:f>
        <x:v>1</x:v>
      </x:c>
      <x:c r="AK79" s="28" t="n">
        <x:f>MAX(0,(IF($B79="dso",$D79,IF($C79="dso",$E79,'參數'!$C$32))-(1-AI79)*IF($B79="dpo",$D79,IF($C79="dpo",$E79,'參數'!$C$33)))/365)</x:f>
        <x:v>0.10783561643835614</x:v>
      </x:c>
      <x:c r="AL79" s="28" t="n">
        <x:f>IF(AK79=0,AB79,(MAX(0,AJ79)+IF($B79="credit",$D79,IF($C79="credit",$E79,'參數'!$C$37)))/AK79)</x:f>
        <x:v>37.09349593495936</x:v>
      </x:c>
      <x:c r="AM79" s="28" t="n">
        <x:f>MIN(AB79,AC79,AL79)</x:f>
        <x:v>10</x:v>
      </x:c>
      <x:c r="AN79" s="28" t="n">
        <x:f>IF(AB79=0,0,AM79*Y79/AB79)</x:f>
        <x:v>4</x:v>
      </x:c>
      <x:c r="AO79" s="28" t="n">
        <x:f>IF(AB79=0,0,AM79*Z79/AB79)</x:f>
        <x:v>6</x:v>
      </x:c>
      <x:c r="AP79" s="28" t="n">
        <x:f>IF(AB79=0,0,AM79*AA79/AB79)</x:f>
        <x:v>0</x:v>
      </x:c>
      <x:c r="AQ79" s="28" t="n">
        <x:f>V79+L79-AN79</x:f>
        <x:v>0</x:v>
      </x:c>
      <x:c r="AR79" s="28" t="n">
        <x:f>W79+M79-AO79</x:f>
        <x:v>0</x:v>
      </x:c>
      <x:c r="AS79" s="28" t="n">
        <x:f>X79+N79-AP79</x:f>
        <x:v>10</x:v>
      </x:c>
      <x:c r="AT79" s="28" t="n">
        <x:f>AQ79+AR79+AS79</x:f>
        <x:v>10</x:v>
      </x:c>
      <x:c r="AU79" s="28" t="n">
        <x:f>AN79*(1-AF79)+AO79*(1-AG79)+AP79*(1-AH79)</x:f>
        <x:v>8.44</x:v>
      </x:c>
      <x:c r="AV79" s="28" t="n">
        <x:f>AM79-AU79</x:f>
        <x:v>1.5600000000000005</x:v>
      </x:c>
      <x:c r="AW79" s="29" t="n">
        <x:f>IF(AM79=0,0,AV79/AM79)</x:f>
        <x:v>0.15600000000000006</x:v>
      </x:c>
      <x:c r="AX79" s="28" t="n">
        <x:f>IF($B79="head",$D79,IF($C79="head",$E79,'參數'!$C$29))*IF($B79="wage",$D79,IF($C79="wage",$E79,'參數'!$C$30))</x:f>
        <x:v>0.22</x:v>
      </x:c>
      <x:c r="AY79" s="28" t="n">
        <x:f>IF($B79="opex",$D79,IF($C79="opex",$E79,'參數'!$C$31))</x:f>
        <x:v>0.23</x:v>
      </x:c>
      <x:c r="AZ79" s="28" t="n">
        <x:f>AX79+AY79</x:f>
        <x:v>0.45</x:v>
      </x:c>
      <x:c r="BA79" s="28" t="n">
        <x:f>AV79-AZ79</x:f>
        <x:v>1.1100000000000005</x:v>
      </x:c>
      <x:c r="BB79" s="28" t="n">
        <x:f>AM79*AK79</x:f>
        <x:v>1.0783561643835613</x:v>
      </x:c>
      <x:c r="BC79" s="28" t="n">
        <x:f>0</x:f>
        <x:v>0</x:v>
      </x:c>
      <x:c r="BD79" s="28" t="n">
        <x:f>MAX(0,BB79-MAX(0,AJ79))</x:f>
        <x:v>0.0783561643835613</x:v>
      </x:c>
      <x:c r="BE79" s="28" t="n">
        <x:f>(BC79+BD79)/2</x:f>
        <x:v>0.03917808219178065</x:v>
      </x:c>
      <x:c r="BF79" s="28" t="n">
        <x:f>BE79*IF($B79="rate",$D79,IF($C79="rate",$E79,'參數'!$C$34))</x:f>
        <x:v>0.001567123287671226</x:v>
      </x:c>
      <x:c r="BG79" s="28" t="n">
        <x:f>IF($B79="nonop",$D79,IF($C79="nonop",$E79,'參數'!$C$36))</x:f>
        <x:v>0.02</x:v>
      </x:c>
      <x:c r="BH79" s="28" t="n">
        <x:f>BA79+BG79-BF79</x:f>
        <x:v>1.1284328767123293</x:v>
      </x:c>
      <x:c r="BI79" s="28" t="n">
        <x:f>MAX(0,BH79)*IF($B79="tax",$D79,IF($C79="tax",$E79,'參數'!$C$35))</x:f>
        <x:v>0.22568657534246586</x:v>
      </x:c>
      <x:c r="BJ79" s="28" t="n">
        <x:f>BH79-BI79</x:f>
        <x:v>0.9027463013698634</x:v>
      </x:c>
      <x:c r="BK79" s="29" t="n">
        <x:f>IF(AM79=0,0,BJ79/AM79)</x:f>
        <x:v>0.09027463013698635</x:v>
      </x:c>
      <x:c r="BL79" s="28" t="n">
        <x:f>IF(BJ79&gt;=0,BJ79*IF($B79="retain",$D79,IF($C79="retain",$E79,'參數'!$C$38)),BJ79)</x:f>
        <x:v>0.4513731506849317</x:v>
      </x:c>
      <x:c r="BM79" s="28" t="n">
        <x:f>AJ79+BL79</x:f>
        <x:v>1.4513731506849317</x:v>
      </x:c>
      <x:c r="BN79" s="28" t="n">
        <x:f>MAX(0,AB79-AC79)</x:f>
        <x:v>0</x:v>
      </x:c>
      <x:c r="BO79" s="28" t="n">
        <x:f>MAX(0,MIN(AB79,AC79)-AM79)</x:f>
        <x:v>0</x:v>
      </x:c>
    </x:row>
    <x:row r="80" ht="24" customHeight="1">
      <x:c r="A80" s="2" t="str">
        <x:v>直接成本漲價率高端</x:v>
      </x:c>
      <x:c r="B80" s="2" t="str">
        <x:v>inflation</x:v>
      </x:c>
      <x:c r="C80" s="2" t="str"/>
      <x:c r="D80" s="11" t="n">
        <x:f>D15</x:f>
        <x:v>0.05</x:v>
      </x:c>
      <x:c r="E80" s="11" t="n">
        <x:f>0</x:f>
        <x:v>0</x:v>
      </x:c>
      <x:c r="F80" s="11" t="n">
        <x:f>'參數'!$C$47</x:f>
        <x:v>0</x:v>
      </x:c>
      <x:c r="G80" s="11" t="n">
        <x:f>'參數'!$C$48</x:f>
        <x:v>0</x:v>
      </x:c>
      <x:c r="H80" s="11" t="n">
        <x:f>'參數'!$C$49</x:f>
        <x:v>0</x:v>
      </x:c>
      <x:c r="I80" s="11" t="n">
        <x:f>F80+IF($B80="pE",$D80,IF($C80="pE",$E80,'參數'!$C$5))*IF($B80="scale",$D80,IF($C80="scale",$E80,'參數'!$C$8))</x:f>
        <x:v>10</x:v>
      </x:c>
      <x:c r="J80" s="11" t="n">
        <x:f>G80+IF($B80="pM",$D80,IF($C80="pM",$E80,'參數'!$C$6))*IF($B80="scale",$D80,IF($C80="scale",$E80,'參數'!$C$8))</x:f>
        <x:v>15</x:v>
      </x:c>
      <x:c r="K80" s="11" t="n">
        <x:f>H80+IF($B80="pA",$D80,IF($C80="pA",$E80,'參數'!$C$7))*IF($B80="scale",$D80,IF($C80="scale",$E80,'參數'!$C$8))</x:f>
        <x:v>50</x:v>
      </x:c>
      <x:c r="L80" s="11" t="n">
        <x:f>I80*IF($B80="winE",$D80,IF($C80="winE",$E80,'參數'!$C$9))</x:f>
        <x:v>4</x:v>
      </x:c>
      <x:c r="M80" s="28" t="n">
        <x:f>J80*IF($B80="winM",$D80,IF($C80="winM",$E80,'參數'!$C$10))</x:f>
        <x:v>6</x:v>
      </x:c>
      <x:c r="N80" s="28" t="n">
        <x:f>MIN(K80,IF($B80="readyA",$D80,IF($C80="readyA",$E80,'參數'!$C$11))*IF($B80="gateA",$D80,IF($C80="gateA",$E80,'參數'!$C$12)))</x:f>
        <x:v>10</x:v>
      </x:c>
      <x:c r="O80" s="28" t="n">
        <x:f>L80+M80+N80</x:f>
        <x:v>20</x:v>
      </x:c>
      <x:c r="P80" s="28" t="n">
        <x:f>(I80-L80)*IF($B80="attrition",$D80,IF($C80="attrition",$E80,'參數'!$C$13))</x:f>
        <x:v>1.2000000000000002</x:v>
      </x:c>
      <x:c r="Q80" s="28" t="n">
        <x:f>(J80-M80)*IF($B80="attrition",$D80,IF($C80="attrition",$E80,'參數'!$C$13))</x:f>
        <x:v>1.8</x:v>
      </x:c>
      <x:c r="R80" s="28" t="n">
        <x:f>(K80-N80)*IF($B80="attrition",$D80,IF($C80="attrition",$E80,'參數'!$C$13))</x:f>
        <x:v>8</x:v>
      </x:c>
      <x:c r="S80" s="28" t="n">
        <x:f>I80-L80-P80</x:f>
        <x:v>4.8</x:v>
      </x:c>
      <x:c r="T80" s="28" t="n">
        <x:f>J80-M80-Q80</x:f>
        <x:v>7.2</x:v>
      </x:c>
      <x:c r="U80" s="28" t="n">
        <x:f>K80-N80-R80</x:f>
        <x:v>32</x:v>
      </x:c>
      <x:c r="V80" s="28" t="n">
        <x:f>'參數'!$C$44</x:f>
        <x:v>0</x:v>
      </x:c>
      <x:c r="W80" s="28" t="n">
        <x:f>'參數'!$C$45</x:f>
        <x:v>0</x:v>
      </x:c>
      <x:c r="X80" s="28" t="n">
        <x:f>'參數'!$C$46</x:f>
        <x:v>0</x:v>
      </x:c>
      <x:c r="Y80" s="28" t="n">
        <x:f>V80*IF($B80="relE",$D80,IF($C80="relE",$E80,'參數'!$C$17))+L80*IF($B80="nowE",$D80,IF($C80="nowE",$E80,'參數'!$C$14))</x:f>
        <x:v>4</x:v>
      </x:c>
      <x:c r="Z80" s="28" t="n">
        <x:f>W80*IF($B80="relM",$D80,IF($C80="relM",$E80,'參數'!$C$18))+M80*IF($B80="nowM",$D80,IF($C80="nowM",$E80,'參數'!$C$15))</x:f>
        <x:v>6</x:v>
      </x:c>
      <x:c r="AA80" s="28" t="n">
        <x:f>X80*IF($B80="relA",$D80,IF($C80="relA",$E80,'參數'!$C$19))+N80*IF($B80="nowA",$D80,IF($C80="nowA",$E80,'參數'!$C$16))</x:f>
        <x:v>0</x:v>
      </x:c>
      <x:c r="AB80" s="28" t="n">
        <x:f>Y80+Z80+AA80</x:f>
        <x:v>10</x:v>
      </x:c>
      <x:c r="AC80" s="28" t="n">
        <x:f>IF($B80="capacity",$D80,IF($C80="capacity",$E80,'參數'!$C$20))</x:f>
        <x:v>10</x:v>
      </x:c>
      <x:c r="AD80" s="28" t="n">
        <x:f>IF(AC80=0,0,AB80/AC80)</x:f>
        <x:v>1</x:v>
      </x:c>
      <x:c r="AE80" s="29" t="n">
        <x:f>MAX(0,AD80-1)*IF($B80="congestion",$D80,IF($C80="congestion",$E80,'參數'!$C$28))</x:f>
        <x:v>0</x:v>
      </x:c>
      <x:c r="AF80" s="29" t="n">
        <x:f>1-(1-(IF($B80="gmE",$D80,IF($C80="gmE",$E80,'參數'!$C$21))+IF($B80="shock",$D80,IF($C80="shock",$E80,'參數'!$C$26))))*(1+IF($B80="inflation",$D80,IF($C80="inflation",$E80,'參數'!$C$27)))-AE80</x:f>
        <x:v>0.07599999999999996</x:v>
      </x:c>
      <x:c r="AG80" s="29" t="n">
        <x:f>1-(1-(IF($B80="gmM",$D80,IF($C80="gmM",$E80,'參數'!$C$22))+IF($B80="dev",$D80,IF($C80="dev",$E80,'參數'!$C$23))*IF($B80="devReal",$D80,IF($C80="devReal",$E80,'參數'!$C$24))+IF($B80="shock",$D80,IF($C80="shock",$E80,'參數'!$C$26))))*(1+IF($B80="inflation",$D80,IF($C80="inflation",$E80,'參數'!$C$27)))-AE80</x:f>
        <x:v>0.1389999999999999</x:v>
      </x:c>
      <x:c r="AH80" s="29" t="n">
        <x:f>1-(1-(IF($B80="gmA",$D80,IF($C80="gmA",$E80,'參數'!$C$25))+IF($B80="shock",$D80,IF($C80="shock",$E80,'參數'!$C$26))))*(1+IF($B80="inflation",$D80,IF($C80="inflation",$E80,'參數'!$C$27)))-AE80</x:f>
        <x:v>0.118</x:v>
      </x:c>
      <x:c r="AI80" s="29" t="n">
        <x:f>IF(AB80=0,0,(Y80*AF80+Z80*AG80+AA80*AH80)/AB80)</x:f>
        <x:v>0.11379999999999993</x:v>
      </x:c>
      <x:c r="AJ80" s="28" t="n">
        <x:f>'參數'!$C$43</x:f>
        <x:v>1</x:v>
      </x:c>
      <x:c r="AK80" s="28" t="n">
        <x:f>MAX(0,(IF($B80="dso",$D80,IF($C80="dso",$E80,'參數'!$C$32))-(1-AI80)*IF($B80="dpo",$D80,IF($C80="dpo",$E80,'參數'!$C$33)))/365)</x:f>
        <x:v>0.10089863013698629</x:v>
      </x:c>
      <x:c r="AL80" s="28" t="n">
        <x:f>IF(AK80=0,AB80,(MAX(0,AJ80)+IF($B80="credit",$D80,IF($C80="credit",$E80,'參數'!$C$37)))/AK80)</x:f>
        <x:v>39.643749321168684</x:v>
      </x:c>
      <x:c r="AM80" s="28" t="n">
        <x:f>MIN(AB80,AC80,AL80)</x:f>
        <x:v>10</x:v>
      </x:c>
      <x:c r="AN80" s="28" t="n">
        <x:f>IF(AB80=0,0,AM80*Y80/AB80)</x:f>
        <x:v>4</x:v>
      </x:c>
      <x:c r="AO80" s="28" t="n">
        <x:f>IF(AB80=0,0,AM80*Z80/AB80)</x:f>
        <x:v>6</x:v>
      </x:c>
      <x:c r="AP80" s="28" t="n">
        <x:f>IF(AB80=0,0,AM80*AA80/AB80)</x:f>
        <x:v>0</x:v>
      </x:c>
      <x:c r="AQ80" s="28" t="n">
        <x:f>V80+L80-AN80</x:f>
        <x:v>0</x:v>
      </x:c>
      <x:c r="AR80" s="28" t="n">
        <x:f>W80+M80-AO80</x:f>
        <x:v>0</x:v>
      </x:c>
      <x:c r="AS80" s="28" t="n">
        <x:f>X80+N80-AP80</x:f>
        <x:v>10</x:v>
      </x:c>
      <x:c r="AT80" s="28" t="n">
        <x:f>AQ80+AR80+AS80</x:f>
        <x:v>10</x:v>
      </x:c>
      <x:c r="AU80" s="28" t="n">
        <x:f>AN80*(1-AF80)+AO80*(1-AG80)+AP80*(1-AH80)</x:f>
        <x:v>8.862</x:v>
      </x:c>
      <x:c r="AV80" s="28" t="n">
        <x:f>AM80-AU80</x:f>
        <x:v>1.138</x:v>
      </x:c>
      <x:c r="AW80" s="29" t="n">
        <x:f>IF(AM80=0,0,AV80/AM80)</x:f>
        <x:v>0.11379999999999998</x:v>
      </x:c>
      <x:c r="AX80" s="28" t="n">
        <x:f>IF($B80="head",$D80,IF($C80="head",$E80,'參數'!$C$29))*IF($B80="wage",$D80,IF($C80="wage",$E80,'參數'!$C$30))</x:f>
        <x:v>0.22</x:v>
      </x:c>
      <x:c r="AY80" s="28" t="n">
        <x:f>IF($B80="opex",$D80,IF($C80="opex",$E80,'參數'!$C$31))</x:f>
        <x:v>0.23</x:v>
      </x:c>
      <x:c r="AZ80" s="28" t="n">
        <x:f>AX80+AY80</x:f>
        <x:v>0.45</x:v>
      </x:c>
      <x:c r="BA80" s="28" t="n">
        <x:f>AV80-AZ80</x:f>
        <x:v>0.688</x:v>
      </x:c>
      <x:c r="BB80" s="28" t="n">
        <x:f>AM80*AK80</x:f>
        <x:v>1.0089863013698628</x:v>
      </x:c>
      <x:c r="BC80" s="28" t="n">
        <x:f>0</x:f>
        <x:v>0</x:v>
      </x:c>
      <x:c r="BD80" s="28" t="n">
        <x:f>MAX(0,BB80-MAX(0,AJ80))</x:f>
        <x:v>0.008986301369862781</x:v>
      </x:c>
      <x:c r="BE80" s="28" t="n">
        <x:f>(BC80+BD80)/2</x:f>
        <x:v>0.004493150684931391</x:v>
      </x:c>
      <x:c r="BF80" s="28" t="n">
        <x:f>BE80*IF($B80="rate",$D80,IF($C80="rate",$E80,'參數'!$C$34))</x:f>
        <x:v>0.00017972602739725564</x:v>
      </x:c>
      <x:c r="BG80" s="28" t="n">
        <x:f>IF($B80="nonop",$D80,IF($C80="nonop",$E80,'參數'!$C$36))</x:f>
        <x:v>0.02</x:v>
      </x:c>
      <x:c r="BH80" s="28" t="n">
        <x:f>BA80+BG80-BF80</x:f>
        <x:v>0.7078202739726027</x:v>
      </x:c>
      <x:c r="BI80" s="28" t="n">
        <x:f>MAX(0,BH80)*IF($B80="tax",$D80,IF($C80="tax",$E80,'參數'!$C$35))</x:f>
        <x:v>0.14156405479452056</x:v>
      </x:c>
      <x:c r="BJ80" s="28" t="n">
        <x:f>BH80-BI80</x:f>
        <x:v>0.5662562191780822</x:v>
      </x:c>
      <x:c r="BK80" s="29" t="n">
        <x:f>IF(AM80=0,0,BJ80/AM80)</x:f>
        <x:v>0.05662562191780822</x:v>
      </x:c>
      <x:c r="BL80" s="28" t="n">
        <x:f>IF(BJ80&gt;=0,BJ80*IF($B80="retain",$D80,IF($C80="retain",$E80,'參數'!$C$38)),BJ80)</x:f>
        <x:v>0.2831281095890411</x:v>
      </x:c>
      <x:c r="BM80" s="28" t="n">
        <x:f>AJ80+BL80</x:f>
        <x:v>1.283128109589041</x:v>
      </x:c>
      <x:c r="BN80" s="28" t="n">
        <x:f>MAX(0,AB80-AC80)</x:f>
        <x:v>0</x:v>
      </x:c>
      <x:c r="BO80" s="28" t="n">
        <x:f>MAX(0,MIN(AB80,AC80)-AM80)</x:f>
        <x:v>0</x:v>
      </x:c>
    </x:row>
    <x:row r="81" ht="24" customHeight="1">
      <x:c r="A81" s="2" t="str">
        <x:v>人力編制低端</x:v>
      </x:c>
      <x:c r="B81" s="2" t="str">
        <x:v>head</x:v>
      </x:c>
      <x:c r="C81" s="2" t="str"/>
      <x:c r="D81" s="11" t="n">
        <x:f>C16</x:f>
        <x:v>9</x:v>
      </x:c>
      <x:c r="E81" s="11" t="n">
        <x:f>0</x:f>
        <x:v>0</x:v>
      </x:c>
      <x:c r="F81" s="11" t="n">
        <x:f>'參數'!$C$47</x:f>
        <x:v>0</x:v>
      </x:c>
      <x:c r="G81" s="11" t="n">
        <x:f>'參數'!$C$48</x:f>
        <x:v>0</x:v>
      </x:c>
      <x:c r="H81" s="11" t="n">
        <x:f>'參數'!$C$49</x:f>
        <x:v>0</x:v>
      </x:c>
      <x:c r="I81" s="11" t="n">
        <x:f>F81+IF($B81="pE",$D81,IF($C81="pE",$E81,'參數'!$C$5))*IF($B81="scale",$D81,IF($C81="scale",$E81,'參數'!$C$8))</x:f>
        <x:v>10</x:v>
      </x:c>
      <x:c r="J81" s="11" t="n">
        <x:f>G81+IF($B81="pM",$D81,IF($C81="pM",$E81,'參數'!$C$6))*IF($B81="scale",$D81,IF($C81="scale",$E81,'參數'!$C$8))</x:f>
        <x:v>15</x:v>
      </x:c>
      <x:c r="K81" s="11" t="n">
        <x:f>H81+IF($B81="pA",$D81,IF($C81="pA",$E81,'參數'!$C$7))*IF($B81="scale",$D81,IF($C81="scale",$E81,'參數'!$C$8))</x:f>
        <x:v>50</x:v>
      </x:c>
      <x:c r="L81" s="11" t="n">
        <x:f>I81*IF($B81="winE",$D81,IF($C81="winE",$E81,'參數'!$C$9))</x:f>
        <x:v>4</x:v>
      </x:c>
      <x:c r="M81" s="28" t="n">
        <x:f>J81*IF($B81="winM",$D81,IF($C81="winM",$E81,'參數'!$C$10))</x:f>
        <x:v>6</x:v>
      </x:c>
      <x:c r="N81" s="28" t="n">
        <x:f>MIN(K81,IF($B81="readyA",$D81,IF($C81="readyA",$E81,'參數'!$C$11))*IF($B81="gateA",$D81,IF($C81="gateA",$E81,'參數'!$C$12)))</x:f>
        <x:v>10</x:v>
      </x:c>
      <x:c r="O81" s="28" t="n">
        <x:f>L81+M81+N81</x:f>
        <x:v>20</x:v>
      </x:c>
      <x:c r="P81" s="28" t="n">
        <x:f>(I81-L81)*IF($B81="attrition",$D81,IF($C81="attrition",$E81,'參數'!$C$13))</x:f>
        <x:v>1.2000000000000002</x:v>
      </x:c>
      <x:c r="Q81" s="28" t="n">
        <x:f>(J81-M81)*IF($B81="attrition",$D81,IF($C81="attrition",$E81,'參數'!$C$13))</x:f>
        <x:v>1.8</x:v>
      </x:c>
      <x:c r="R81" s="28" t="n">
        <x:f>(K81-N81)*IF($B81="attrition",$D81,IF($C81="attrition",$E81,'參數'!$C$13))</x:f>
        <x:v>8</x:v>
      </x:c>
      <x:c r="S81" s="28" t="n">
        <x:f>I81-L81-P81</x:f>
        <x:v>4.8</x:v>
      </x:c>
      <x:c r="T81" s="28" t="n">
        <x:f>J81-M81-Q81</x:f>
        <x:v>7.2</x:v>
      </x:c>
      <x:c r="U81" s="28" t="n">
        <x:f>K81-N81-R81</x:f>
        <x:v>32</x:v>
      </x:c>
      <x:c r="V81" s="28" t="n">
        <x:f>'參數'!$C$44</x:f>
        <x:v>0</x:v>
      </x:c>
      <x:c r="W81" s="28" t="n">
        <x:f>'參數'!$C$45</x:f>
        <x:v>0</x:v>
      </x:c>
      <x:c r="X81" s="28" t="n">
        <x:f>'參數'!$C$46</x:f>
        <x:v>0</x:v>
      </x:c>
      <x:c r="Y81" s="28" t="n">
        <x:f>V81*IF($B81="relE",$D81,IF($C81="relE",$E81,'參數'!$C$17))+L81*IF($B81="nowE",$D81,IF($C81="nowE",$E81,'參數'!$C$14))</x:f>
        <x:v>4</x:v>
      </x:c>
      <x:c r="Z81" s="28" t="n">
        <x:f>W81*IF($B81="relM",$D81,IF($C81="relM",$E81,'參數'!$C$18))+M81*IF($B81="nowM",$D81,IF($C81="nowM",$E81,'參數'!$C$15))</x:f>
        <x:v>6</x:v>
      </x:c>
      <x:c r="AA81" s="28" t="n">
        <x:f>X81*IF($B81="relA",$D81,IF($C81="relA",$E81,'參數'!$C$19))+N81*IF($B81="nowA",$D81,IF($C81="nowA",$E81,'參數'!$C$16))</x:f>
        <x:v>0</x:v>
      </x:c>
      <x:c r="AB81" s="28" t="n">
        <x:f>Y81+Z81+AA81</x:f>
        <x:v>10</x:v>
      </x:c>
      <x:c r="AC81" s="28" t="n">
        <x:f>IF($B81="capacity",$D81,IF($C81="capacity",$E81,'參數'!$C$20))</x:f>
        <x:v>10</x:v>
      </x:c>
      <x:c r="AD81" s="28" t="n">
        <x:f>IF(AC81=0,0,AB81/AC81)</x:f>
        <x:v>1</x:v>
      </x:c>
      <x:c r="AE81" s="29" t="n">
        <x:f>MAX(0,AD81-1)*IF($B81="congestion",$D81,IF($C81="congestion",$E81,'參數'!$C$28))</x:f>
        <x:v>0</x:v>
      </x:c>
      <x:c r="AF81" s="29" t="n">
        <x:f>1-(1-(IF($B81="gmE",$D81,IF($C81="gmE",$E81,'參數'!$C$21))+IF($B81="shock",$D81,IF($C81="shock",$E81,'參數'!$C$26))))*(1+IF($B81="inflation",$D81,IF($C81="inflation",$E81,'參數'!$C$27)))-AE81</x:f>
        <x:v>0.12</x:v>
      </x:c>
      <x:c r="AG81" s="29" t="n">
        <x:f>1-(1-(IF($B81="gmM",$D81,IF($C81="gmM",$E81,'參數'!$C$22))+IF($B81="dev",$D81,IF($C81="dev",$E81,'參數'!$C$23))*IF($B81="devReal",$D81,IF($C81="devReal",$E81,'參數'!$C$24))+IF($B81="shock",$D81,IF($C81="shock",$E81,'參數'!$C$26))))*(1+IF($B81="inflation",$D81,IF($C81="inflation",$E81,'參數'!$C$27)))-AE81</x:f>
        <x:v>0.17999999999999994</x:v>
      </x:c>
      <x:c r="AH81" s="29" t="n">
        <x:f>1-(1-(IF($B81="gmA",$D81,IF($C81="gmA",$E81,'參數'!$C$25))+IF($B81="shock",$D81,IF($C81="shock",$E81,'參數'!$C$26))))*(1+IF($B81="inflation",$D81,IF($C81="inflation",$E81,'參數'!$C$27)))-AE81</x:f>
        <x:v>0.16000000000000003</x:v>
      </x:c>
      <x:c r="AI81" s="29" t="n">
        <x:f>IF(AB81=0,0,(Y81*AF81+Z81*AG81+AA81*AH81)/AB81)</x:f>
        <x:v>0.15599999999999997</x:v>
      </x:c>
      <x:c r="AJ81" s="28" t="n">
        <x:f>'參數'!$C$43</x:f>
        <x:v>1</x:v>
      </x:c>
      <x:c r="AK81" s="28" t="n">
        <x:f>MAX(0,(IF($B81="dso",$D81,IF($C81="dso",$E81,'參數'!$C$32))-(1-AI81)*IF($B81="dpo",$D81,IF($C81="dpo",$E81,'參數'!$C$33)))/365)</x:f>
        <x:v>0.10783561643835614</x:v>
      </x:c>
      <x:c r="AL81" s="28" t="n">
        <x:f>IF(AK81=0,AB81,(MAX(0,AJ81)+IF($B81="credit",$D81,IF($C81="credit",$E81,'參數'!$C$37)))/AK81)</x:f>
        <x:v>37.09349593495936</x:v>
      </x:c>
      <x:c r="AM81" s="28" t="n">
        <x:f>MIN(AB81,AC81,AL81)</x:f>
        <x:v>10</x:v>
      </x:c>
      <x:c r="AN81" s="28" t="n">
        <x:f>IF(AB81=0,0,AM81*Y81/AB81)</x:f>
        <x:v>4</x:v>
      </x:c>
      <x:c r="AO81" s="28" t="n">
        <x:f>IF(AB81=0,0,AM81*Z81/AB81)</x:f>
        <x:v>6</x:v>
      </x:c>
      <x:c r="AP81" s="28" t="n">
        <x:f>IF(AB81=0,0,AM81*AA81/AB81)</x:f>
        <x:v>0</x:v>
      </x:c>
      <x:c r="AQ81" s="28" t="n">
        <x:f>V81+L81-AN81</x:f>
        <x:v>0</x:v>
      </x:c>
      <x:c r="AR81" s="28" t="n">
        <x:f>W81+M81-AO81</x:f>
        <x:v>0</x:v>
      </x:c>
      <x:c r="AS81" s="28" t="n">
        <x:f>X81+N81-AP81</x:f>
        <x:v>10</x:v>
      </x:c>
      <x:c r="AT81" s="28" t="n">
        <x:f>AQ81+AR81+AS81</x:f>
        <x:v>10</x:v>
      </x:c>
      <x:c r="AU81" s="28" t="n">
        <x:f>AN81*(1-AF81)+AO81*(1-AG81)+AP81*(1-AH81)</x:f>
        <x:v>8.44</x:v>
      </x:c>
      <x:c r="AV81" s="28" t="n">
        <x:f>AM81-AU81</x:f>
        <x:v>1.5600000000000005</x:v>
      </x:c>
      <x:c r="AW81" s="29" t="n">
        <x:f>IF(AM81=0,0,AV81/AM81)</x:f>
        <x:v>0.15600000000000006</x:v>
      </x:c>
      <x:c r="AX81" s="28" t="n">
        <x:f>IF($B81="head",$D81,IF($C81="head",$E81,'參數'!$C$29))*IF($B81="wage",$D81,IF($C81="wage",$E81,'參數'!$C$30))</x:f>
        <x:v>0.18</x:v>
      </x:c>
      <x:c r="AY81" s="28" t="n">
        <x:f>IF($B81="opex",$D81,IF($C81="opex",$E81,'參數'!$C$31))</x:f>
        <x:v>0.23</x:v>
      </x:c>
      <x:c r="AZ81" s="28" t="n">
        <x:f>AX81+AY81</x:f>
        <x:v>0.41000000000000003</x:v>
      </x:c>
      <x:c r="BA81" s="28" t="n">
        <x:f>AV81-AZ81</x:f>
        <x:v>1.1500000000000004</x:v>
      </x:c>
      <x:c r="BB81" s="28" t="n">
        <x:f>AM81*AK81</x:f>
        <x:v>1.0783561643835613</x:v>
      </x:c>
      <x:c r="BC81" s="28" t="n">
        <x:f>0</x:f>
        <x:v>0</x:v>
      </x:c>
      <x:c r="BD81" s="28" t="n">
        <x:f>MAX(0,BB81-MAX(0,AJ81))</x:f>
        <x:v>0.0783561643835613</x:v>
      </x:c>
      <x:c r="BE81" s="28" t="n">
        <x:f>(BC81+BD81)/2</x:f>
        <x:v>0.03917808219178065</x:v>
      </x:c>
      <x:c r="BF81" s="28" t="n">
        <x:f>BE81*IF($B81="rate",$D81,IF($C81="rate",$E81,'參數'!$C$34))</x:f>
        <x:v>0.001567123287671226</x:v>
      </x:c>
      <x:c r="BG81" s="28" t="n">
        <x:f>IF($B81="nonop",$D81,IF($C81="nonop",$E81,'參數'!$C$36))</x:f>
        <x:v>0.02</x:v>
      </x:c>
      <x:c r="BH81" s="28" t="n">
        <x:f>BA81+BG81-BF81</x:f>
        <x:v>1.168432876712329</x:v>
      </x:c>
      <x:c r="BI81" s="28" t="n">
        <x:f>MAX(0,BH81)*IF($B81="tax",$D81,IF($C81="tax",$E81,'參數'!$C$35))</x:f>
        <x:v>0.23368657534246584</x:v>
      </x:c>
      <x:c r="BJ81" s="28" t="n">
        <x:f>BH81-BI81</x:f>
        <x:v>0.9347463013698633</x:v>
      </x:c>
      <x:c r="BK81" s="29" t="n">
        <x:f>IF(AM81=0,0,BJ81/AM81)</x:f>
        <x:v>0.09347463013698633</x:v>
      </x:c>
      <x:c r="BL81" s="28" t="n">
        <x:f>IF(BJ81&gt;=0,BJ81*IF($B81="retain",$D81,IF($C81="retain",$E81,'參數'!$C$38)),BJ81)</x:f>
        <x:v>0.4673731506849316</x:v>
      </x:c>
      <x:c r="BM81" s="28" t="n">
        <x:f>AJ81+BL81</x:f>
        <x:v>1.4673731506849317</x:v>
      </x:c>
      <x:c r="BN81" s="28" t="n">
        <x:f>MAX(0,AB81-AC81)</x:f>
        <x:v>0</x:v>
      </x:c>
      <x:c r="BO81" s="28" t="n">
        <x:f>MAX(0,MIN(AB81,AC81)-AM81)</x:f>
        <x:v>0</x:v>
      </x:c>
    </x:row>
    <x:row r="82" ht="24" customHeight="1">
      <x:c r="A82" s="2" t="str">
        <x:v>人力編制高端</x:v>
      </x:c>
      <x:c r="B82" s="2" t="str">
        <x:v>head</x:v>
      </x:c>
      <x:c r="C82" s="2" t="str"/>
      <x:c r="D82" s="11" t="n">
        <x:f>D16</x:f>
        <x:v>13</x:v>
      </x:c>
      <x:c r="E82" s="11" t="n">
        <x:f>0</x:f>
        <x:v>0</x:v>
      </x:c>
      <x:c r="F82" s="11" t="n">
        <x:f>'參數'!$C$47</x:f>
        <x:v>0</x:v>
      </x:c>
      <x:c r="G82" s="11" t="n">
        <x:f>'參數'!$C$48</x:f>
        <x:v>0</x:v>
      </x:c>
      <x:c r="H82" s="11" t="n">
        <x:f>'參數'!$C$49</x:f>
        <x:v>0</x:v>
      </x:c>
      <x:c r="I82" s="11" t="n">
        <x:f>F82+IF($B82="pE",$D82,IF($C82="pE",$E82,'參數'!$C$5))*IF($B82="scale",$D82,IF($C82="scale",$E82,'參數'!$C$8))</x:f>
        <x:v>10</x:v>
      </x:c>
      <x:c r="J82" s="11" t="n">
        <x:f>G82+IF($B82="pM",$D82,IF($C82="pM",$E82,'參數'!$C$6))*IF($B82="scale",$D82,IF($C82="scale",$E82,'參數'!$C$8))</x:f>
        <x:v>15</x:v>
      </x:c>
      <x:c r="K82" s="11" t="n">
        <x:f>H82+IF($B82="pA",$D82,IF($C82="pA",$E82,'參數'!$C$7))*IF($B82="scale",$D82,IF($C82="scale",$E82,'參數'!$C$8))</x:f>
        <x:v>50</x:v>
      </x:c>
      <x:c r="L82" s="11" t="n">
        <x:f>I82*IF($B82="winE",$D82,IF($C82="winE",$E82,'參數'!$C$9))</x:f>
        <x:v>4</x:v>
      </x:c>
      <x:c r="M82" s="28" t="n">
        <x:f>J82*IF($B82="winM",$D82,IF($C82="winM",$E82,'參數'!$C$10))</x:f>
        <x:v>6</x:v>
      </x:c>
      <x:c r="N82" s="28" t="n">
        <x:f>MIN(K82,IF($B82="readyA",$D82,IF($C82="readyA",$E82,'參數'!$C$11))*IF($B82="gateA",$D82,IF($C82="gateA",$E82,'參數'!$C$12)))</x:f>
        <x:v>10</x:v>
      </x:c>
      <x:c r="O82" s="28" t="n">
        <x:f>L82+M82+N82</x:f>
        <x:v>20</x:v>
      </x:c>
      <x:c r="P82" s="28" t="n">
        <x:f>(I82-L82)*IF($B82="attrition",$D82,IF($C82="attrition",$E82,'參數'!$C$13))</x:f>
        <x:v>1.2000000000000002</x:v>
      </x:c>
      <x:c r="Q82" s="28" t="n">
        <x:f>(J82-M82)*IF($B82="attrition",$D82,IF($C82="attrition",$E82,'參數'!$C$13))</x:f>
        <x:v>1.8</x:v>
      </x:c>
      <x:c r="R82" s="28" t="n">
        <x:f>(K82-N82)*IF($B82="attrition",$D82,IF($C82="attrition",$E82,'參數'!$C$13))</x:f>
        <x:v>8</x:v>
      </x:c>
      <x:c r="S82" s="28" t="n">
        <x:f>I82-L82-P82</x:f>
        <x:v>4.8</x:v>
      </x:c>
      <x:c r="T82" s="28" t="n">
        <x:f>J82-M82-Q82</x:f>
        <x:v>7.2</x:v>
      </x:c>
      <x:c r="U82" s="28" t="n">
        <x:f>K82-N82-R82</x:f>
        <x:v>32</x:v>
      </x:c>
      <x:c r="V82" s="28" t="n">
        <x:f>'參數'!$C$44</x:f>
        <x:v>0</x:v>
      </x:c>
      <x:c r="W82" s="28" t="n">
        <x:f>'參數'!$C$45</x:f>
        <x:v>0</x:v>
      </x:c>
      <x:c r="X82" s="28" t="n">
        <x:f>'參數'!$C$46</x:f>
        <x:v>0</x:v>
      </x:c>
      <x:c r="Y82" s="28" t="n">
        <x:f>V82*IF($B82="relE",$D82,IF($C82="relE",$E82,'參數'!$C$17))+L82*IF($B82="nowE",$D82,IF($C82="nowE",$E82,'參數'!$C$14))</x:f>
        <x:v>4</x:v>
      </x:c>
      <x:c r="Z82" s="28" t="n">
        <x:f>W82*IF($B82="relM",$D82,IF($C82="relM",$E82,'參數'!$C$18))+M82*IF($B82="nowM",$D82,IF($C82="nowM",$E82,'參數'!$C$15))</x:f>
        <x:v>6</x:v>
      </x:c>
      <x:c r="AA82" s="28" t="n">
        <x:f>X82*IF($B82="relA",$D82,IF($C82="relA",$E82,'參數'!$C$19))+N82*IF($B82="nowA",$D82,IF($C82="nowA",$E82,'參數'!$C$16))</x:f>
        <x:v>0</x:v>
      </x:c>
      <x:c r="AB82" s="28" t="n">
        <x:f>Y82+Z82+AA82</x:f>
        <x:v>10</x:v>
      </x:c>
      <x:c r="AC82" s="28" t="n">
        <x:f>IF($B82="capacity",$D82,IF($C82="capacity",$E82,'參數'!$C$20))</x:f>
        <x:v>10</x:v>
      </x:c>
      <x:c r="AD82" s="28" t="n">
        <x:f>IF(AC82=0,0,AB82/AC82)</x:f>
        <x:v>1</x:v>
      </x:c>
      <x:c r="AE82" s="29" t="n">
        <x:f>MAX(0,AD82-1)*IF($B82="congestion",$D82,IF($C82="congestion",$E82,'參數'!$C$28))</x:f>
        <x:v>0</x:v>
      </x:c>
      <x:c r="AF82" s="29" t="n">
        <x:f>1-(1-(IF($B82="gmE",$D82,IF($C82="gmE",$E82,'參數'!$C$21))+IF($B82="shock",$D82,IF($C82="shock",$E82,'參數'!$C$26))))*(1+IF($B82="inflation",$D82,IF($C82="inflation",$E82,'參數'!$C$27)))-AE82</x:f>
        <x:v>0.12</x:v>
      </x:c>
      <x:c r="AG82" s="29" t="n">
        <x:f>1-(1-(IF($B82="gmM",$D82,IF($C82="gmM",$E82,'參數'!$C$22))+IF($B82="dev",$D82,IF($C82="dev",$E82,'參數'!$C$23))*IF($B82="devReal",$D82,IF($C82="devReal",$E82,'參數'!$C$24))+IF($B82="shock",$D82,IF($C82="shock",$E82,'參數'!$C$26))))*(1+IF($B82="inflation",$D82,IF($C82="inflation",$E82,'參數'!$C$27)))-AE82</x:f>
        <x:v>0.17999999999999994</x:v>
      </x:c>
      <x:c r="AH82" s="29" t="n">
        <x:f>1-(1-(IF($B82="gmA",$D82,IF($C82="gmA",$E82,'參數'!$C$25))+IF($B82="shock",$D82,IF($C82="shock",$E82,'參數'!$C$26))))*(1+IF($B82="inflation",$D82,IF($C82="inflation",$E82,'參數'!$C$27)))-AE82</x:f>
        <x:v>0.16000000000000003</x:v>
      </x:c>
      <x:c r="AI82" s="29" t="n">
        <x:f>IF(AB82=0,0,(Y82*AF82+Z82*AG82+AA82*AH82)/AB82)</x:f>
        <x:v>0.15599999999999997</x:v>
      </x:c>
      <x:c r="AJ82" s="28" t="n">
        <x:f>'參數'!$C$43</x:f>
        <x:v>1</x:v>
      </x:c>
      <x:c r="AK82" s="28" t="n">
        <x:f>MAX(0,(IF($B82="dso",$D82,IF($C82="dso",$E82,'參數'!$C$32))-(1-AI82)*IF($B82="dpo",$D82,IF($C82="dpo",$E82,'參數'!$C$33)))/365)</x:f>
        <x:v>0.10783561643835614</x:v>
      </x:c>
      <x:c r="AL82" s="28" t="n">
        <x:f>IF(AK82=0,AB82,(MAX(0,AJ82)+IF($B82="credit",$D82,IF($C82="credit",$E82,'參數'!$C$37)))/AK82)</x:f>
        <x:v>37.09349593495936</x:v>
      </x:c>
      <x:c r="AM82" s="28" t="n">
        <x:f>MIN(AB82,AC82,AL82)</x:f>
        <x:v>10</x:v>
      </x:c>
      <x:c r="AN82" s="28" t="n">
        <x:f>IF(AB82=0,0,AM82*Y82/AB82)</x:f>
        <x:v>4</x:v>
      </x:c>
      <x:c r="AO82" s="28" t="n">
        <x:f>IF(AB82=0,0,AM82*Z82/AB82)</x:f>
        <x:v>6</x:v>
      </x:c>
      <x:c r="AP82" s="28" t="n">
        <x:f>IF(AB82=0,0,AM82*AA82/AB82)</x:f>
        <x:v>0</x:v>
      </x:c>
      <x:c r="AQ82" s="28" t="n">
        <x:f>V82+L82-AN82</x:f>
        <x:v>0</x:v>
      </x:c>
      <x:c r="AR82" s="28" t="n">
        <x:f>W82+M82-AO82</x:f>
        <x:v>0</x:v>
      </x:c>
      <x:c r="AS82" s="28" t="n">
        <x:f>X82+N82-AP82</x:f>
        <x:v>10</x:v>
      </x:c>
      <x:c r="AT82" s="28" t="n">
        <x:f>AQ82+AR82+AS82</x:f>
        <x:v>10</x:v>
      </x:c>
      <x:c r="AU82" s="28" t="n">
        <x:f>AN82*(1-AF82)+AO82*(1-AG82)+AP82*(1-AH82)</x:f>
        <x:v>8.44</x:v>
      </x:c>
      <x:c r="AV82" s="28" t="n">
        <x:f>AM82-AU82</x:f>
        <x:v>1.5600000000000005</x:v>
      </x:c>
      <x:c r="AW82" s="29" t="n">
        <x:f>IF(AM82=0,0,AV82/AM82)</x:f>
        <x:v>0.15600000000000006</x:v>
      </x:c>
      <x:c r="AX82" s="28" t="n">
        <x:f>IF($B82="head",$D82,IF($C82="head",$E82,'參數'!$C$29))*IF($B82="wage",$D82,IF($C82="wage",$E82,'參數'!$C$30))</x:f>
        <x:v>0.26</x:v>
      </x:c>
      <x:c r="AY82" s="28" t="n">
        <x:f>IF($B82="opex",$D82,IF($C82="opex",$E82,'參數'!$C$31))</x:f>
        <x:v>0.23</x:v>
      </x:c>
      <x:c r="AZ82" s="28" t="n">
        <x:f>AX82+AY82</x:f>
        <x:v>0.49</x:v>
      </x:c>
      <x:c r="BA82" s="28" t="n">
        <x:f>AV82-AZ82</x:f>
        <x:v>1.0700000000000005</x:v>
      </x:c>
      <x:c r="BB82" s="28" t="n">
        <x:f>AM82*AK82</x:f>
        <x:v>1.0783561643835613</x:v>
      </x:c>
      <x:c r="BC82" s="28" t="n">
        <x:f>0</x:f>
        <x:v>0</x:v>
      </x:c>
      <x:c r="BD82" s="28" t="n">
        <x:f>MAX(0,BB82-MAX(0,AJ82))</x:f>
        <x:v>0.0783561643835613</x:v>
      </x:c>
      <x:c r="BE82" s="28" t="n">
        <x:f>(BC82+BD82)/2</x:f>
        <x:v>0.03917808219178065</x:v>
      </x:c>
      <x:c r="BF82" s="28" t="n">
        <x:f>BE82*IF($B82="rate",$D82,IF($C82="rate",$E82,'參數'!$C$34))</x:f>
        <x:v>0.001567123287671226</x:v>
      </x:c>
      <x:c r="BG82" s="28" t="n">
        <x:f>IF($B82="nonop",$D82,IF($C82="nonop",$E82,'參數'!$C$36))</x:f>
        <x:v>0.02</x:v>
      </x:c>
      <x:c r="BH82" s="28" t="n">
        <x:f>BA82+BG82-BF82</x:f>
        <x:v>1.0884328767123292</x:v>
      </x:c>
      <x:c r="BI82" s="28" t="n">
        <x:f>MAX(0,BH82)*IF($B82="tax",$D82,IF($C82="tax",$E82,'參數'!$C$35))</x:f>
        <x:v>0.21768657534246585</x:v>
      </x:c>
      <x:c r="BJ82" s="28" t="n">
        <x:f>BH82-BI82</x:f>
        <x:v>0.8707463013698634</x:v>
      </x:c>
      <x:c r="BK82" s="29" t="n">
        <x:f>IF(AM82=0,0,BJ82/AM82)</x:f>
        <x:v>0.08707463013698634</x:v>
      </x:c>
      <x:c r="BL82" s="28" t="n">
        <x:f>IF(BJ82&gt;=0,BJ82*IF($B82="retain",$D82,IF($C82="retain",$E82,'參數'!$C$38)),BJ82)</x:f>
        <x:v>0.4353731506849317</x:v>
      </x:c>
      <x:c r="BM82" s="28" t="n">
        <x:f>AJ82+BL82</x:f>
        <x:v>1.4353731506849317</x:v>
      </x:c>
      <x:c r="BN82" s="28" t="n">
        <x:f>MAX(0,AB82-AC82)</x:f>
        <x:v>0</x:v>
      </x:c>
      <x:c r="BO82" s="28" t="n">
        <x:f>MAX(0,MIN(AB82,AC82)-AM82)</x:f>
        <x:v>0</x:v>
      </x:c>
    </x:row>
    <x:row r="83" ht="24" customHeight="1">
      <x:c r="A83" s="2" t="str">
        <x:v>人均年度完整費用低端</x:v>
      </x:c>
      <x:c r="B83" s="2" t="str">
        <x:v>wage</x:v>
      </x:c>
      <x:c r="C83" s="2" t="str"/>
      <x:c r="D83" s="11" t="n">
        <x:f>C17</x:f>
        <x:v>0.018000000000000002</x:v>
      </x:c>
      <x:c r="E83" s="11" t="n">
        <x:f>0</x:f>
        <x:v>0</x:v>
      </x:c>
      <x:c r="F83" s="11" t="n">
        <x:f>'參數'!$C$47</x:f>
        <x:v>0</x:v>
      </x:c>
      <x:c r="G83" s="11" t="n">
        <x:f>'參數'!$C$48</x:f>
        <x:v>0</x:v>
      </x:c>
      <x:c r="H83" s="11" t="n">
        <x:f>'參數'!$C$49</x:f>
        <x:v>0</x:v>
      </x:c>
      <x:c r="I83" s="11" t="n">
        <x:f>F83+IF($B83="pE",$D83,IF($C83="pE",$E83,'參數'!$C$5))*IF($B83="scale",$D83,IF($C83="scale",$E83,'參數'!$C$8))</x:f>
        <x:v>10</x:v>
      </x:c>
      <x:c r="J83" s="11" t="n">
        <x:f>G83+IF($B83="pM",$D83,IF($C83="pM",$E83,'參數'!$C$6))*IF($B83="scale",$D83,IF($C83="scale",$E83,'參數'!$C$8))</x:f>
        <x:v>15</x:v>
      </x:c>
      <x:c r="K83" s="11" t="n">
        <x:f>H83+IF($B83="pA",$D83,IF($C83="pA",$E83,'參數'!$C$7))*IF($B83="scale",$D83,IF($C83="scale",$E83,'參數'!$C$8))</x:f>
        <x:v>50</x:v>
      </x:c>
      <x:c r="L83" s="11" t="n">
        <x:f>I83*IF($B83="winE",$D83,IF($C83="winE",$E83,'參數'!$C$9))</x:f>
        <x:v>4</x:v>
      </x:c>
      <x:c r="M83" s="28" t="n">
        <x:f>J83*IF($B83="winM",$D83,IF($C83="winM",$E83,'參數'!$C$10))</x:f>
        <x:v>6</x:v>
      </x:c>
      <x:c r="N83" s="28" t="n">
        <x:f>MIN(K83,IF($B83="readyA",$D83,IF($C83="readyA",$E83,'參數'!$C$11))*IF($B83="gateA",$D83,IF($C83="gateA",$E83,'參數'!$C$12)))</x:f>
        <x:v>10</x:v>
      </x:c>
      <x:c r="O83" s="28" t="n">
        <x:f>L83+M83+N83</x:f>
        <x:v>20</x:v>
      </x:c>
      <x:c r="P83" s="28" t="n">
        <x:f>(I83-L83)*IF($B83="attrition",$D83,IF($C83="attrition",$E83,'參數'!$C$13))</x:f>
        <x:v>1.2000000000000002</x:v>
      </x:c>
      <x:c r="Q83" s="28" t="n">
        <x:f>(J83-M83)*IF($B83="attrition",$D83,IF($C83="attrition",$E83,'參數'!$C$13))</x:f>
        <x:v>1.8</x:v>
      </x:c>
      <x:c r="R83" s="28" t="n">
        <x:f>(K83-N83)*IF($B83="attrition",$D83,IF($C83="attrition",$E83,'參數'!$C$13))</x:f>
        <x:v>8</x:v>
      </x:c>
      <x:c r="S83" s="28" t="n">
        <x:f>I83-L83-P83</x:f>
        <x:v>4.8</x:v>
      </x:c>
      <x:c r="T83" s="28" t="n">
        <x:f>J83-M83-Q83</x:f>
        <x:v>7.2</x:v>
      </x:c>
      <x:c r="U83" s="28" t="n">
        <x:f>K83-N83-R83</x:f>
        <x:v>32</x:v>
      </x:c>
      <x:c r="V83" s="28" t="n">
        <x:f>'參數'!$C$44</x:f>
        <x:v>0</x:v>
      </x:c>
      <x:c r="W83" s="28" t="n">
        <x:f>'參數'!$C$45</x:f>
        <x:v>0</x:v>
      </x:c>
      <x:c r="X83" s="28" t="n">
        <x:f>'參數'!$C$46</x:f>
        <x:v>0</x:v>
      </x:c>
      <x:c r="Y83" s="28" t="n">
        <x:f>V83*IF($B83="relE",$D83,IF($C83="relE",$E83,'參數'!$C$17))+L83*IF($B83="nowE",$D83,IF($C83="nowE",$E83,'參數'!$C$14))</x:f>
        <x:v>4</x:v>
      </x:c>
      <x:c r="Z83" s="28" t="n">
        <x:f>W83*IF($B83="relM",$D83,IF($C83="relM",$E83,'參數'!$C$18))+M83*IF($B83="nowM",$D83,IF($C83="nowM",$E83,'參數'!$C$15))</x:f>
        <x:v>6</x:v>
      </x:c>
      <x:c r="AA83" s="28" t="n">
        <x:f>X83*IF($B83="relA",$D83,IF($C83="relA",$E83,'參數'!$C$19))+N83*IF($B83="nowA",$D83,IF($C83="nowA",$E83,'參數'!$C$16))</x:f>
        <x:v>0</x:v>
      </x:c>
      <x:c r="AB83" s="28" t="n">
        <x:f>Y83+Z83+AA83</x:f>
        <x:v>10</x:v>
      </x:c>
      <x:c r="AC83" s="28" t="n">
        <x:f>IF($B83="capacity",$D83,IF($C83="capacity",$E83,'參數'!$C$20))</x:f>
        <x:v>10</x:v>
      </x:c>
      <x:c r="AD83" s="28" t="n">
        <x:f>IF(AC83=0,0,AB83/AC83)</x:f>
        <x:v>1</x:v>
      </x:c>
      <x:c r="AE83" s="29" t="n">
        <x:f>MAX(0,AD83-1)*IF($B83="congestion",$D83,IF($C83="congestion",$E83,'參數'!$C$28))</x:f>
        <x:v>0</x:v>
      </x:c>
      <x:c r="AF83" s="29" t="n">
        <x:f>1-(1-(IF($B83="gmE",$D83,IF($C83="gmE",$E83,'參數'!$C$21))+IF($B83="shock",$D83,IF($C83="shock",$E83,'參數'!$C$26))))*(1+IF($B83="inflation",$D83,IF($C83="inflation",$E83,'參數'!$C$27)))-AE83</x:f>
        <x:v>0.12</x:v>
      </x:c>
      <x:c r="AG83" s="29" t="n">
        <x:f>1-(1-(IF($B83="gmM",$D83,IF($C83="gmM",$E83,'參數'!$C$22))+IF($B83="dev",$D83,IF($C83="dev",$E83,'參數'!$C$23))*IF($B83="devReal",$D83,IF($C83="devReal",$E83,'參數'!$C$24))+IF($B83="shock",$D83,IF($C83="shock",$E83,'參數'!$C$26))))*(1+IF($B83="inflation",$D83,IF($C83="inflation",$E83,'參數'!$C$27)))-AE83</x:f>
        <x:v>0.17999999999999994</x:v>
      </x:c>
      <x:c r="AH83" s="29" t="n">
        <x:f>1-(1-(IF($B83="gmA",$D83,IF($C83="gmA",$E83,'參數'!$C$25))+IF($B83="shock",$D83,IF($C83="shock",$E83,'參數'!$C$26))))*(1+IF($B83="inflation",$D83,IF($C83="inflation",$E83,'參數'!$C$27)))-AE83</x:f>
        <x:v>0.16000000000000003</x:v>
      </x:c>
      <x:c r="AI83" s="29" t="n">
        <x:f>IF(AB83=0,0,(Y83*AF83+Z83*AG83+AA83*AH83)/AB83)</x:f>
        <x:v>0.15599999999999997</x:v>
      </x:c>
      <x:c r="AJ83" s="28" t="n">
        <x:f>'參數'!$C$43</x:f>
        <x:v>1</x:v>
      </x:c>
      <x:c r="AK83" s="28" t="n">
        <x:f>MAX(0,(IF($B83="dso",$D83,IF($C83="dso",$E83,'參數'!$C$32))-(1-AI83)*IF($B83="dpo",$D83,IF($C83="dpo",$E83,'參數'!$C$33)))/365)</x:f>
        <x:v>0.10783561643835614</x:v>
      </x:c>
      <x:c r="AL83" s="28" t="n">
        <x:f>IF(AK83=0,AB83,(MAX(0,AJ83)+IF($B83="credit",$D83,IF($C83="credit",$E83,'參數'!$C$37)))/AK83)</x:f>
        <x:v>37.09349593495936</x:v>
      </x:c>
      <x:c r="AM83" s="28" t="n">
        <x:f>MIN(AB83,AC83,AL83)</x:f>
        <x:v>10</x:v>
      </x:c>
      <x:c r="AN83" s="28" t="n">
        <x:f>IF(AB83=0,0,AM83*Y83/AB83)</x:f>
        <x:v>4</x:v>
      </x:c>
      <x:c r="AO83" s="28" t="n">
        <x:f>IF(AB83=0,0,AM83*Z83/AB83)</x:f>
        <x:v>6</x:v>
      </x:c>
      <x:c r="AP83" s="28" t="n">
        <x:f>IF(AB83=0,0,AM83*AA83/AB83)</x:f>
        <x:v>0</x:v>
      </x:c>
      <x:c r="AQ83" s="28" t="n">
        <x:f>V83+L83-AN83</x:f>
        <x:v>0</x:v>
      </x:c>
      <x:c r="AR83" s="28" t="n">
        <x:f>W83+M83-AO83</x:f>
        <x:v>0</x:v>
      </x:c>
      <x:c r="AS83" s="28" t="n">
        <x:f>X83+N83-AP83</x:f>
        <x:v>10</x:v>
      </x:c>
      <x:c r="AT83" s="28" t="n">
        <x:f>AQ83+AR83+AS83</x:f>
        <x:v>10</x:v>
      </x:c>
      <x:c r="AU83" s="28" t="n">
        <x:f>AN83*(1-AF83)+AO83*(1-AG83)+AP83*(1-AH83)</x:f>
        <x:v>8.44</x:v>
      </x:c>
      <x:c r="AV83" s="28" t="n">
        <x:f>AM83-AU83</x:f>
        <x:v>1.5600000000000005</x:v>
      </x:c>
      <x:c r="AW83" s="29" t="n">
        <x:f>IF(AM83=0,0,AV83/AM83)</x:f>
        <x:v>0.15600000000000006</x:v>
      </x:c>
      <x:c r="AX83" s="28" t="n">
        <x:f>IF($B83="head",$D83,IF($C83="head",$E83,'參數'!$C$29))*IF($B83="wage",$D83,IF($C83="wage",$E83,'參數'!$C$30))</x:f>
        <x:v>0.198</x:v>
      </x:c>
      <x:c r="AY83" s="28" t="n">
        <x:f>IF($B83="opex",$D83,IF($C83="opex",$E83,'參數'!$C$31))</x:f>
        <x:v>0.23</x:v>
      </x:c>
      <x:c r="AZ83" s="28" t="n">
        <x:f>AX83+AY83</x:f>
        <x:v>0.42800000000000005</x:v>
      </x:c>
      <x:c r="BA83" s="28" t="n">
        <x:f>AV83-AZ83</x:f>
        <x:v>1.1320000000000006</x:v>
      </x:c>
      <x:c r="BB83" s="28" t="n">
        <x:f>AM83*AK83</x:f>
        <x:v>1.0783561643835613</x:v>
      </x:c>
      <x:c r="BC83" s="28" t="n">
        <x:f>0</x:f>
        <x:v>0</x:v>
      </x:c>
      <x:c r="BD83" s="28" t="n">
        <x:f>MAX(0,BB83-MAX(0,AJ83))</x:f>
        <x:v>0.0783561643835613</x:v>
      </x:c>
      <x:c r="BE83" s="28" t="n">
        <x:f>(BC83+BD83)/2</x:f>
        <x:v>0.03917808219178065</x:v>
      </x:c>
      <x:c r="BF83" s="28" t="n">
        <x:f>BE83*IF($B83="rate",$D83,IF($C83="rate",$E83,'參數'!$C$34))</x:f>
        <x:v>0.001567123287671226</x:v>
      </x:c>
      <x:c r="BG83" s="28" t="n">
        <x:f>IF($B83="nonop",$D83,IF($C83="nonop",$E83,'參數'!$C$36))</x:f>
        <x:v>0.02</x:v>
      </x:c>
      <x:c r="BH83" s="28" t="n">
        <x:f>BA83+BG83-BF83</x:f>
        <x:v>1.1504328767123293</x:v>
      </x:c>
      <x:c r="BI83" s="28" t="n">
        <x:f>MAX(0,BH83)*IF($B83="tax",$D83,IF($C83="tax",$E83,'參數'!$C$35))</x:f>
        <x:v>0.23008657534246588</x:v>
      </x:c>
      <x:c r="BJ83" s="28" t="n">
        <x:f>BH83-BI83</x:f>
        <x:v>0.9203463013698634</x:v>
      </x:c>
      <x:c r="BK83" s="29" t="n">
        <x:f>IF(AM83=0,0,BJ83/AM83)</x:f>
        <x:v>0.09203463013698635</x:v>
      </x:c>
      <x:c r="BL83" s="28" t="n">
        <x:f>IF(BJ83&gt;=0,BJ83*IF($B83="retain",$D83,IF($C83="retain",$E83,'參數'!$C$38)),BJ83)</x:f>
        <x:v>0.4601731506849317</x:v>
      </x:c>
      <x:c r="BM83" s="28" t="n">
        <x:f>AJ83+BL83</x:f>
        <x:v>1.4601731506849318</x:v>
      </x:c>
      <x:c r="BN83" s="28" t="n">
        <x:f>MAX(0,AB83-AC83)</x:f>
        <x:v>0</x:v>
      </x:c>
      <x:c r="BO83" s="28" t="n">
        <x:f>MAX(0,MIN(AB83,AC83)-AM83)</x:f>
        <x:v>0</x:v>
      </x:c>
    </x:row>
    <x:row r="84" ht="24" customHeight="1">
      <x:c r="A84" s="2" t="str">
        <x:v>人均年度完整費用高端</x:v>
      </x:c>
      <x:c r="B84" s="2" t="str">
        <x:v>wage</x:v>
      </x:c>
      <x:c r="C84" s="2" t="str"/>
      <x:c r="D84" s="11" t="n">
        <x:f>D17</x:f>
        <x:v>0.022000000000000002</x:v>
      </x:c>
      <x:c r="E84" s="11" t="n">
        <x:f>0</x:f>
        <x:v>0</x:v>
      </x:c>
      <x:c r="F84" s="11" t="n">
        <x:f>'參數'!$C$47</x:f>
        <x:v>0</x:v>
      </x:c>
      <x:c r="G84" s="11" t="n">
        <x:f>'參數'!$C$48</x:f>
        <x:v>0</x:v>
      </x:c>
      <x:c r="H84" s="11" t="n">
        <x:f>'參數'!$C$49</x:f>
        <x:v>0</x:v>
      </x:c>
      <x:c r="I84" s="11" t="n">
        <x:f>F84+IF($B84="pE",$D84,IF($C84="pE",$E84,'參數'!$C$5))*IF($B84="scale",$D84,IF($C84="scale",$E84,'參數'!$C$8))</x:f>
        <x:v>10</x:v>
      </x:c>
      <x:c r="J84" s="11" t="n">
        <x:f>G84+IF($B84="pM",$D84,IF($C84="pM",$E84,'參數'!$C$6))*IF($B84="scale",$D84,IF($C84="scale",$E84,'參數'!$C$8))</x:f>
        <x:v>15</x:v>
      </x:c>
      <x:c r="K84" s="11" t="n">
        <x:f>H84+IF($B84="pA",$D84,IF($C84="pA",$E84,'參數'!$C$7))*IF($B84="scale",$D84,IF($C84="scale",$E84,'參數'!$C$8))</x:f>
        <x:v>50</x:v>
      </x:c>
      <x:c r="L84" s="11" t="n">
        <x:f>I84*IF($B84="winE",$D84,IF($C84="winE",$E84,'參數'!$C$9))</x:f>
        <x:v>4</x:v>
      </x:c>
      <x:c r="M84" s="28" t="n">
        <x:f>J84*IF($B84="winM",$D84,IF($C84="winM",$E84,'參數'!$C$10))</x:f>
        <x:v>6</x:v>
      </x:c>
      <x:c r="N84" s="28" t="n">
        <x:f>MIN(K84,IF($B84="readyA",$D84,IF($C84="readyA",$E84,'參數'!$C$11))*IF($B84="gateA",$D84,IF($C84="gateA",$E84,'參數'!$C$12)))</x:f>
        <x:v>10</x:v>
      </x:c>
      <x:c r="O84" s="28" t="n">
        <x:f>L84+M84+N84</x:f>
        <x:v>20</x:v>
      </x:c>
      <x:c r="P84" s="28" t="n">
        <x:f>(I84-L84)*IF($B84="attrition",$D84,IF($C84="attrition",$E84,'參數'!$C$13))</x:f>
        <x:v>1.2000000000000002</x:v>
      </x:c>
      <x:c r="Q84" s="28" t="n">
        <x:f>(J84-M84)*IF($B84="attrition",$D84,IF($C84="attrition",$E84,'參數'!$C$13))</x:f>
        <x:v>1.8</x:v>
      </x:c>
      <x:c r="R84" s="28" t="n">
        <x:f>(K84-N84)*IF($B84="attrition",$D84,IF($C84="attrition",$E84,'參數'!$C$13))</x:f>
        <x:v>8</x:v>
      </x:c>
      <x:c r="S84" s="28" t="n">
        <x:f>I84-L84-P84</x:f>
        <x:v>4.8</x:v>
      </x:c>
      <x:c r="T84" s="28" t="n">
        <x:f>J84-M84-Q84</x:f>
        <x:v>7.2</x:v>
      </x:c>
      <x:c r="U84" s="28" t="n">
        <x:f>K84-N84-R84</x:f>
        <x:v>32</x:v>
      </x:c>
      <x:c r="V84" s="28" t="n">
        <x:f>'參數'!$C$44</x:f>
        <x:v>0</x:v>
      </x:c>
      <x:c r="W84" s="28" t="n">
        <x:f>'參數'!$C$45</x:f>
        <x:v>0</x:v>
      </x:c>
      <x:c r="X84" s="28" t="n">
        <x:f>'參數'!$C$46</x:f>
        <x:v>0</x:v>
      </x:c>
      <x:c r="Y84" s="28" t="n">
        <x:f>V84*IF($B84="relE",$D84,IF($C84="relE",$E84,'參數'!$C$17))+L84*IF($B84="nowE",$D84,IF($C84="nowE",$E84,'參數'!$C$14))</x:f>
        <x:v>4</x:v>
      </x:c>
      <x:c r="Z84" s="28" t="n">
        <x:f>W84*IF($B84="relM",$D84,IF($C84="relM",$E84,'參數'!$C$18))+M84*IF($B84="nowM",$D84,IF($C84="nowM",$E84,'參數'!$C$15))</x:f>
        <x:v>6</x:v>
      </x:c>
      <x:c r="AA84" s="28" t="n">
        <x:f>X84*IF($B84="relA",$D84,IF($C84="relA",$E84,'參數'!$C$19))+N84*IF($B84="nowA",$D84,IF($C84="nowA",$E84,'參數'!$C$16))</x:f>
        <x:v>0</x:v>
      </x:c>
      <x:c r="AB84" s="28" t="n">
        <x:f>Y84+Z84+AA84</x:f>
        <x:v>10</x:v>
      </x:c>
      <x:c r="AC84" s="28" t="n">
        <x:f>IF($B84="capacity",$D84,IF($C84="capacity",$E84,'參數'!$C$20))</x:f>
        <x:v>10</x:v>
      </x:c>
      <x:c r="AD84" s="28" t="n">
        <x:f>IF(AC84=0,0,AB84/AC84)</x:f>
        <x:v>1</x:v>
      </x:c>
      <x:c r="AE84" s="29" t="n">
        <x:f>MAX(0,AD84-1)*IF($B84="congestion",$D84,IF($C84="congestion",$E84,'參數'!$C$28))</x:f>
        <x:v>0</x:v>
      </x:c>
      <x:c r="AF84" s="29" t="n">
        <x:f>1-(1-(IF($B84="gmE",$D84,IF($C84="gmE",$E84,'參數'!$C$21))+IF($B84="shock",$D84,IF($C84="shock",$E84,'參數'!$C$26))))*(1+IF($B84="inflation",$D84,IF($C84="inflation",$E84,'參數'!$C$27)))-AE84</x:f>
        <x:v>0.12</x:v>
      </x:c>
      <x:c r="AG84" s="29" t="n">
        <x:f>1-(1-(IF($B84="gmM",$D84,IF($C84="gmM",$E84,'參數'!$C$22))+IF($B84="dev",$D84,IF($C84="dev",$E84,'參數'!$C$23))*IF($B84="devReal",$D84,IF($C84="devReal",$E84,'參數'!$C$24))+IF($B84="shock",$D84,IF($C84="shock",$E84,'參數'!$C$26))))*(1+IF($B84="inflation",$D84,IF($C84="inflation",$E84,'參數'!$C$27)))-AE84</x:f>
        <x:v>0.17999999999999994</x:v>
      </x:c>
      <x:c r="AH84" s="29" t="n">
        <x:f>1-(1-(IF($B84="gmA",$D84,IF($C84="gmA",$E84,'參數'!$C$25))+IF($B84="shock",$D84,IF($C84="shock",$E84,'參數'!$C$26))))*(1+IF($B84="inflation",$D84,IF($C84="inflation",$E84,'參數'!$C$27)))-AE84</x:f>
        <x:v>0.16000000000000003</x:v>
      </x:c>
      <x:c r="AI84" s="29" t="n">
        <x:f>IF(AB84=0,0,(Y84*AF84+Z84*AG84+AA84*AH84)/AB84)</x:f>
        <x:v>0.15599999999999997</x:v>
      </x:c>
      <x:c r="AJ84" s="28" t="n">
        <x:f>'參數'!$C$43</x:f>
        <x:v>1</x:v>
      </x:c>
      <x:c r="AK84" s="28" t="n">
        <x:f>MAX(0,(IF($B84="dso",$D84,IF($C84="dso",$E84,'參數'!$C$32))-(1-AI84)*IF($B84="dpo",$D84,IF($C84="dpo",$E84,'參數'!$C$33)))/365)</x:f>
        <x:v>0.10783561643835614</x:v>
      </x:c>
      <x:c r="AL84" s="28" t="n">
        <x:f>IF(AK84=0,AB84,(MAX(0,AJ84)+IF($B84="credit",$D84,IF($C84="credit",$E84,'參數'!$C$37)))/AK84)</x:f>
        <x:v>37.09349593495936</x:v>
      </x:c>
      <x:c r="AM84" s="28" t="n">
        <x:f>MIN(AB84,AC84,AL84)</x:f>
        <x:v>10</x:v>
      </x:c>
      <x:c r="AN84" s="28" t="n">
        <x:f>IF(AB84=0,0,AM84*Y84/AB84)</x:f>
        <x:v>4</x:v>
      </x:c>
      <x:c r="AO84" s="28" t="n">
        <x:f>IF(AB84=0,0,AM84*Z84/AB84)</x:f>
        <x:v>6</x:v>
      </x:c>
      <x:c r="AP84" s="28" t="n">
        <x:f>IF(AB84=0,0,AM84*AA84/AB84)</x:f>
        <x:v>0</x:v>
      </x:c>
      <x:c r="AQ84" s="28" t="n">
        <x:f>V84+L84-AN84</x:f>
        <x:v>0</x:v>
      </x:c>
      <x:c r="AR84" s="28" t="n">
        <x:f>W84+M84-AO84</x:f>
        <x:v>0</x:v>
      </x:c>
      <x:c r="AS84" s="28" t="n">
        <x:f>X84+N84-AP84</x:f>
        <x:v>10</x:v>
      </x:c>
      <x:c r="AT84" s="28" t="n">
        <x:f>AQ84+AR84+AS84</x:f>
        <x:v>10</x:v>
      </x:c>
      <x:c r="AU84" s="28" t="n">
        <x:f>AN84*(1-AF84)+AO84*(1-AG84)+AP84*(1-AH84)</x:f>
        <x:v>8.44</x:v>
      </x:c>
      <x:c r="AV84" s="28" t="n">
        <x:f>AM84-AU84</x:f>
        <x:v>1.5600000000000005</x:v>
      </x:c>
      <x:c r="AW84" s="29" t="n">
        <x:f>IF(AM84=0,0,AV84/AM84)</x:f>
        <x:v>0.15600000000000006</x:v>
      </x:c>
      <x:c r="AX84" s="28" t="n">
        <x:f>IF($B84="head",$D84,IF($C84="head",$E84,'參數'!$C$29))*IF($B84="wage",$D84,IF($C84="wage",$E84,'參數'!$C$30))</x:f>
        <x:v>0.24200000000000002</x:v>
      </x:c>
      <x:c r="AY84" s="28" t="n">
        <x:f>IF($B84="opex",$D84,IF($C84="opex",$E84,'參數'!$C$31))</x:f>
        <x:v>0.23</x:v>
      </x:c>
      <x:c r="AZ84" s="28" t="n">
        <x:f>AX84+AY84</x:f>
        <x:v>0.47200000000000003</x:v>
      </x:c>
      <x:c r="BA84" s="28" t="n">
        <x:f>AV84-AZ84</x:f>
        <x:v>1.0880000000000005</x:v>
      </x:c>
      <x:c r="BB84" s="28" t="n">
        <x:f>AM84*AK84</x:f>
        <x:v>1.0783561643835613</x:v>
      </x:c>
      <x:c r="BC84" s="28" t="n">
        <x:f>0</x:f>
        <x:v>0</x:v>
      </x:c>
      <x:c r="BD84" s="28" t="n">
        <x:f>MAX(0,BB84-MAX(0,AJ84))</x:f>
        <x:v>0.0783561643835613</x:v>
      </x:c>
      <x:c r="BE84" s="28" t="n">
        <x:f>(BC84+BD84)/2</x:f>
        <x:v>0.03917808219178065</x:v>
      </x:c>
      <x:c r="BF84" s="28" t="n">
        <x:f>BE84*IF($B84="rate",$D84,IF($C84="rate",$E84,'參數'!$C$34))</x:f>
        <x:v>0.001567123287671226</x:v>
      </x:c>
      <x:c r="BG84" s="28" t="n">
        <x:f>IF($B84="nonop",$D84,IF($C84="nonop",$E84,'參數'!$C$36))</x:f>
        <x:v>0.02</x:v>
      </x:c>
      <x:c r="BH84" s="28" t="n">
        <x:f>BA84+BG84-BF84</x:f>
        <x:v>1.1064328767123293</x:v>
      </x:c>
      <x:c r="BI84" s="28" t="n">
        <x:f>MAX(0,BH84)*IF($B84="tax",$D84,IF($C84="tax",$E84,'參數'!$C$35))</x:f>
        <x:v>0.22128657534246587</x:v>
      </x:c>
      <x:c r="BJ84" s="28" t="n">
        <x:f>BH84-BI84</x:f>
        <x:v>0.8851463013698634</x:v>
      </x:c>
      <x:c r="BK84" s="29" t="n">
        <x:f>IF(AM84=0,0,BJ84/AM84)</x:f>
        <x:v>0.08851463013698634</x:v>
      </x:c>
      <x:c r="BL84" s="28" t="n">
        <x:f>IF(BJ84&gt;=0,BJ84*IF($B84="retain",$D84,IF($C84="retain",$E84,'參數'!$C$38)),BJ84)</x:f>
        <x:v>0.4425731506849317</x:v>
      </x:c>
      <x:c r="BM84" s="28" t="n">
        <x:f>AJ84+BL84</x:f>
        <x:v>1.4425731506849317</x:v>
      </x:c>
      <x:c r="BN84" s="28" t="n">
        <x:f>MAX(0,AB84-AC84)</x:f>
        <x:v>0</x:v>
      </x:c>
      <x:c r="BO84" s="28" t="n">
        <x:f>MAX(0,MIN(AB84,AC84)-AM84)</x:f>
        <x:v>0</x:v>
      </x:c>
    </x:row>
    <x:row r="85" ht="24" customHeight="1">
      <x:c r="A85" s="2" t="str">
        <x:v>其他年度營業費用低端</x:v>
      </x:c>
      <x:c r="B85" s="2" t="str">
        <x:v>opex</x:v>
      </x:c>
      <x:c r="C85" s="2" t="str"/>
      <x:c r="D85" s="11" t="n">
        <x:f>C18</x:f>
        <x:v>0.18400000000000002</x:v>
      </x:c>
      <x:c r="E85" s="11" t="n">
        <x:f>0</x:f>
        <x:v>0</x:v>
      </x:c>
      <x:c r="F85" s="11" t="n">
        <x:f>'參數'!$C$47</x:f>
        <x:v>0</x:v>
      </x:c>
      <x:c r="G85" s="11" t="n">
        <x:f>'參數'!$C$48</x:f>
        <x:v>0</x:v>
      </x:c>
      <x:c r="H85" s="11" t="n">
        <x:f>'參數'!$C$49</x:f>
        <x:v>0</x:v>
      </x:c>
      <x:c r="I85" s="11" t="n">
        <x:f>F85+IF($B85="pE",$D85,IF($C85="pE",$E85,'參數'!$C$5))*IF($B85="scale",$D85,IF($C85="scale",$E85,'參數'!$C$8))</x:f>
        <x:v>10</x:v>
      </x:c>
      <x:c r="J85" s="11" t="n">
        <x:f>G85+IF($B85="pM",$D85,IF($C85="pM",$E85,'參數'!$C$6))*IF($B85="scale",$D85,IF($C85="scale",$E85,'參數'!$C$8))</x:f>
        <x:v>15</x:v>
      </x:c>
      <x:c r="K85" s="11" t="n">
        <x:f>H85+IF($B85="pA",$D85,IF($C85="pA",$E85,'參數'!$C$7))*IF($B85="scale",$D85,IF($C85="scale",$E85,'參數'!$C$8))</x:f>
        <x:v>50</x:v>
      </x:c>
      <x:c r="L85" s="11" t="n">
        <x:f>I85*IF($B85="winE",$D85,IF($C85="winE",$E85,'參數'!$C$9))</x:f>
        <x:v>4</x:v>
      </x:c>
      <x:c r="M85" s="28" t="n">
        <x:f>J85*IF($B85="winM",$D85,IF($C85="winM",$E85,'參數'!$C$10))</x:f>
        <x:v>6</x:v>
      </x:c>
      <x:c r="N85" s="28" t="n">
        <x:f>MIN(K85,IF($B85="readyA",$D85,IF($C85="readyA",$E85,'參數'!$C$11))*IF($B85="gateA",$D85,IF($C85="gateA",$E85,'參數'!$C$12)))</x:f>
        <x:v>10</x:v>
      </x:c>
      <x:c r="O85" s="28" t="n">
        <x:f>L85+M85+N85</x:f>
        <x:v>20</x:v>
      </x:c>
      <x:c r="P85" s="28" t="n">
        <x:f>(I85-L85)*IF($B85="attrition",$D85,IF($C85="attrition",$E85,'參數'!$C$13))</x:f>
        <x:v>1.2000000000000002</x:v>
      </x:c>
      <x:c r="Q85" s="28" t="n">
        <x:f>(J85-M85)*IF($B85="attrition",$D85,IF($C85="attrition",$E85,'參數'!$C$13))</x:f>
        <x:v>1.8</x:v>
      </x:c>
      <x:c r="R85" s="28" t="n">
        <x:f>(K85-N85)*IF($B85="attrition",$D85,IF($C85="attrition",$E85,'參數'!$C$13))</x:f>
        <x:v>8</x:v>
      </x:c>
      <x:c r="S85" s="28" t="n">
        <x:f>I85-L85-P85</x:f>
        <x:v>4.8</x:v>
      </x:c>
      <x:c r="T85" s="28" t="n">
        <x:f>J85-M85-Q85</x:f>
        <x:v>7.2</x:v>
      </x:c>
      <x:c r="U85" s="28" t="n">
        <x:f>K85-N85-R85</x:f>
        <x:v>32</x:v>
      </x:c>
      <x:c r="V85" s="28" t="n">
        <x:f>'參數'!$C$44</x:f>
        <x:v>0</x:v>
      </x:c>
      <x:c r="W85" s="28" t="n">
        <x:f>'參數'!$C$45</x:f>
        <x:v>0</x:v>
      </x:c>
      <x:c r="X85" s="28" t="n">
        <x:f>'參數'!$C$46</x:f>
        <x:v>0</x:v>
      </x:c>
      <x:c r="Y85" s="28" t="n">
        <x:f>V85*IF($B85="relE",$D85,IF($C85="relE",$E85,'參數'!$C$17))+L85*IF($B85="nowE",$D85,IF($C85="nowE",$E85,'參數'!$C$14))</x:f>
        <x:v>4</x:v>
      </x:c>
      <x:c r="Z85" s="28" t="n">
        <x:f>W85*IF($B85="relM",$D85,IF($C85="relM",$E85,'參數'!$C$18))+M85*IF($B85="nowM",$D85,IF($C85="nowM",$E85,'參數'!$C$15))</x:f>
        <x:v>6</x:v>
      </x:c>
      <x:c r="AA85" s="28" t="n">
        <x:f>X85*IF($B85="relA",$D85,IF($C85="relA",$E85,'參數'!$C$19))+N85*IF($B85="nowA",$D85,IF($C85="nowA",$E85,'參數'!$C$16))</x:f>
        <x:v>0</x:v>
      </x:c>
      <x:c r="AB85" s="28" t="n">
        <x:f>Y85+Z85+AA85</x:f>
        <x:v>10</x:v>
      </x:c>
      <x:c r="AC85" s="28" t="n">
        <x:f>IF($B85="capacity",$D85,IF($C85="capacity",$E85,'參數'!$C$20))</x:f>
        <x:v>10</x:v>
      </x:c>
      <x:c r="AD85" s="28" t="n">
        <x:f>IF(AC85=0,0,AB85/AC85)</x:f>
        <x:v>1</x:v>
      </x:c>
      <x:c r="AE85" s="29" t="n">
        <x:f>MAX(0,AD85-1)*IF($B85="congestion",$D85,IF($C85="congestion",$E85,'參數'!$C$28))</x:f>
        <x:v>0</x:v>
      </x:c>
      <x:c r="AF85" s="29" t="n">
        <x:f>1-(1-(IF($B85="gmE",$D85,IF($C85="gmE",$E85,'參數'!$C$21))+IF($B85="shock",$D85,IF($C85="shock",$E85,'參數'!$C$26))))*(1+IF($B85="inflation",$D85,IF($C85="inflation",$E85,'參數'!$C$27)))-AE85</x:f>
        <x:v>0.12</x:v>
      </x:c>
      <x:c r="AG85" s="29" t="n">
        <x:f>1-(1-(IF($B85="gmM",$D85,IF($C85="gmM",$E85,'參數'!$C$22))+IF($B85="dev",$D85,IF($C85="dev",$E85,'參數'!$C$23))*IF($B85="devReal",$D85,IF($C85="devReal",$E85,'參數'!$C$24))+IF($B85="shock",$D85,IF($C85="shock",$E85,'參數'!$C$26))))*(1+IF($B85="inflation",$D85,IF($C85="inflation",$E85,'參數'!$C$27)))-AE85</x:f>
        <x:v>0.17999999999999994</x:v>
      </x:c>
      <x:c r="AH85" s="29" t="n">
        <x:f>1-(1-(IF($B85="gmA",$D85,IF($C85="gmA",$E85,'參數'!$C$25))+IF($B85="shock",$D85,IF($C85="shock",$E85,'參數'!$C$26))))*(1+IF($B85="inflation",$D85,IF($C85="inflation",$E85,'參數'!$C$27)))-AE85</x:f>
        <x:v>0.16000000000000003</x:v>
      </x:c>
      <x:c r="AI85" s="29" t="n">
        <x:f>IF(AB85=0,0,(Y85*AF85+Z85*AG85+AA85*AH85)/AB85)</x:f>
        <x:v>0.15599999999999997</x:v>
      </x:c>
      <x:c r="AJ85" s="28" t="n">
        <x:f>'參數'!$C$43</x:f>
        <x:v>1</x:v>
      </x:c>
      <x:c r="AK85" s="28" t="n">
        <x:f>MAX(0,(IF($B85="dso",$D85,IF($C85="dso",$E85,'參數'!$C$32))-(1-AI85)*IF($B85="dpo",$D85,IF($C85="dpo",$E85,'參數'!$C$33)))/365)</x:f>
        <x:v>0.10783561643835614</x:v>
      </x:c>
      <x:c r="AL85" s="28" t="n">
        <x:f>IF(AK85=0,AB85,(MAX(0,AJ85)+IF($B85="credit",$D85,IF($C85="credit",$E85,'參數'!$C$37)))/AK85)</x:f>
        <x:v>37.09349593495936</x:v>
      </x:c>
      <x:c r="AM85" s="28" t="n">
        <x:f>MIN(AB85,AC85,AL85)</x:f>
        <x:v>10</x:v>
      </x:c>
      <x:c r="AN85" s="28" t="n">
        <x:f>IF(AB85=0,0,AM85*Y85/AB85)</x:f>
        <x:v>4</x:v>
      </x:c>
      <x:c r="AO85" s="28" t="n">
        <x:f>IF(AB85=0,0,AM85*Z85/AB85)</x:f>
        <x:v>6</x:v>
      </x:c>
      <x:c r="AP85" s="28" t="n">
        <x:f>IF(AB85=0,0,AM85*AA85/AB85)</x:f>
        <x:v>0</x:v>
      </x:c>
      <x:c r="AQ85" s="28" t="n">
        <x:f>V85+L85-AN85</x:f>
        <x:v>0</x:v>
      </x:c>
      <x:c r="AR85" s="28" t="n">
        <x:f>W85+M85-AO85</x:f>
        <x:v>0</x:v>
      </x:c>
      <x:c r="AS85" s="28" t="n">
        <x:f>X85+N85-AP85</x:f>
        <x:v>10</x:v>
      </x:c>
      <x:c r="AT85" s="28" t="n">
        <x:f>AQ85+AR85+AS85</x:f>
        <x:v>10</x:v>
      </x:c>
      <x:c r="AU85" s="28" t="n">
        <x:f>AN85*(1-AF85)+AO85*(1-AG85)+AP85*(1-AH85)</x:f>
        <x:v>8.44</x:v>
      </x:c>
      <x:c r="AV85" s="28" t="n">
        <x:f>AM85-AU85</x:f>
        <x:v>1.5600000000000005</x:v>
      </x:c>
      <x:c r="AW85" s="29" t="n">
        <x:f>IF(AM85=0,0,AV85/AM85)</x:f>
        <x:v>0.15600000000000006</x:v>
      </x:c>
      <x:c r="AX85" s="28" t="n">
        <x:f>IF($B85="head",$D85,IF($C85="head",$E85,'參數'!$C$29))*IF($B85="wage",$D85,IF($C85="wage",$E85,'參數'!$C$30))</x:f>
        <x:v>0.22</x:v>
      </x:c>
      <x:c r="AY85" s="28" t="n">
        <x:f>IF($B85="opex",$D85,IF($C85="opex",$E85,'參數'!$C$31))</x:f>
        <x:v>0.18400000000000002</x:v>
      </x:c>
      <x:c r="AZ85" s="28" t="n">
        <x:f>AX85+AY85</x:f>
        <x:v>0.404</x:v>
      </x:c>
      <x:c r="BA85" s="28" t="n">
        <x:f>AV85-AZ85</x:f>
        <x:v>1.1560000000000006</x:v>
      </x:c>
      <x:c r="BB85" s="28" t="n">
        <x:f>AM85*AK85</x:f>
        <x:v>1.0783561643835613</x:v>
      </x:c>
      <x:c r="BC85" s="28" t="n">
        <x:f>0</x:f>
        <x:v>0</x:v>
      </x:c>
      <x:c r="BD85" s="28" t="n">
        <x:f>MAX(0,BB85-MAX(0,AJ85))</x:f>
        <x:v>0.0783561643835613</x:v>
      </x:c>
      <x:c r="BE85" s="28" t="n">
        <x:f>(BC85+BD85)/2</x:f>
        <x:v>0.03917808219178065</x:v>
      </x:c>
      <x:c r="BF85" s="28" t="n">
        <x:f>BE85*IF($B85="rate",$D85,IF($C85="rate",$E85,'參數'!$C$34))</x:f>
        <x:v>0.001567123287671226</x:v>
      </x:c>
      <x:c r="BG85" s="28" t="n">
        <x:f>IF($B85="nonop",$D85,IF($C85="nonop",$E85,'參數'!$C$36))</x:f>
        <x:v>0.02</x:v>
      </x:c>
      <x:c r="BH85" s="28" t="n">
        <x:f>BA85+BG85-BF85</x:f>
        <x:v>1.1744328767123293</x:v>
      </x:c>
      <x:c r="BI85" s="28" t="n">
        <x:f>MAX(0,BH85)*IF($B85="tax",$D85,IF($C85="tax",$E85,'參數'!$C$35))</x:f>
        <x:v>0.23488657534246588</x:v>
      </x:c>
      <x:c r="BJ85" s="28" t="n">
        <x:f>BH85-BI85</x:f>
        <x:v>0.9395463013698635</x:v>
      </x:c>
      <x:c r="BK85" s="29" t="n">
        <x:f>IF(AM85=0,0,BJ85/AM85)</x:f>
        <x:v>0.09395463013698635</x:v>
      </x:c>
      <x:c r="BL85" s="28" t="n">
        <x:f>IF(BJ85&gt;=0,BJ85*IF($B85="retain",$D85,IF($C85="retain",$E85,'參數'!$C$38)),BJ85)</x:f>
        <x:v>0.46977315068493175</x:v>
      </x:c>
      <x:c r="BM85" s="28" t="n">
        <x:f>AJ85+BL85</x:f>
        <x:v>1.4697731506849316</x:v>
      </x:c>
      <x:c r="BN85" s="28" t="n">
        <x:f>MAX(0,AB85-AC85)</x:f>
        <x:v>0</x:v>
      </x:c>
      <x:c r="BO85" s="28" t="n">
        <x:f>MAX(0,MIN(AB85,AC85)-AM85)</x:f>
        <x:v>0</x:v>
      </x:c>
    </x:row>
    <x:row r="86" ht="24" customHeight="1">
      <x:c r="A86" s="2" t="str">
        <x:v>其他年度營業費用高端</x:v>
      </x:c>
      <x:c r="B86" s="2" t="str">
        <x:v>opex</x:v>
      </x:c>
      <x:c r="C86" s="2" t="str"/>
      <x:c r="D86" s="11" t="n">
        <x:f>D18</x:f>
        <x:v>0.276</x:v>
      </x:c>
      <x:c r="E86" s="11" t="n">
        <x:f>0</x:f>
        <x:v>0</x:v>
      </x:c>
      <x:c r="F86" s="11" t="n">
        <x:f>'參數'!$C$47</x:f>
        <x:v>0</x:v>
      </x:c>
      <x:c r="G86" s="11" t="n">
        <x:f>'參數'!$C$48</x:f>
        <x:v>0</x:v>
      </x:c>
      <x:c r="H86" s="11" t="n">
        <x:f>'參數'!$C$49</x:f>
        <x:v>0</x:v>
      </x:c>
      <x:c r="I86" s="11" t="n">
        <x:f>F86+IF($B86="pE",$D86,IF($C86="pE",$E86,'參數'!$C$5))*IF($B86="scale",$D86,IF($C86="scale",$E86,'參數'!$C$8))</x:f>
        <x:v>10</x:v>
      </x:c>
      <x:c r="J86" s="11" t="n">
        <x:f>G86+IF($B86="pM",$D86,IF($C86="pM",$E86,'參數'!$C$6))*IF($B86="scale",$D86,IF($C86="scale",$E86,'參數'!$C$8))</x:f>
        <x:v>15</x:v>
      </x:c>
      <x:c r="K86" s="11" t="n">
        <x:f>H86+IF($B86="pA",$D86,IF($C86="pA",$E86,'參數'!$C$7))*IF($B86="scale",$D86,IF($C86="scale",$E86,'參數'!$C$8))</x:f>
        <x:v>50</x:v>
      </x:c>
      <x:c r="L86" s="11" t="n">
        <x:f>I86*IF($B86="winE",$D86,IF($C86="winE",$E86,'參數'!$C$9))</x:f>
        <x:v>4</x:v>
      </x:c>
      <x:c r="M86" s="28" t="n">
        <x:f>J86*IF($B86="winM",$D86,IF($C86="winM",$E86,'參數'!$C$10))</x:f>
        <x:v>6</x:v>
      </x:c>
      <x:c r="N86" s="28" t="n">
        <x:f>MIN(K86,IF($B86="readyA",$D86,IF($C86="readyA",$E86,'參數'!$C$11))*IF($B86="gateA",$D86,IF($C86="gateA",$E86,'參數'!$C$12)))</x:f>
        <x:v>10</x:v>
      </x:c>
      <x:c r="O86" s="28" t="n">
        <x:f>L86+M86+N86</x:f>
        <x:v>20</x:v>
      </x:c>
      <x:c r="P86" s="28" t="n">
        <x:f>(I86-L86)*IF($B86="attrition",$D86,IF($C86="attrition",$E86,'參數'!$C$13))</x:f>
        <x:v>1.2000000000000002</x:v>
      </x:c>
      <x:c r="Q86" s="28" t="n">
        <x:f>(J86-M86)*IF($B86="attrition",$D86,IF($C86="attrition",$E86,'參數'!$C$13))</x:f>
        <x:v>1.8</x:v>
      </x:c>
      <x:c r="R86" s="28" t="n">
        <x:f>(K86-N86)*IF($B86="attrition",$D86,IF($C86="attrition",$E86,'參數'!$C$13))</x:f>
        <x:v>8</x:v>
      </x:c>
      <x:c r="S86" s="28" t="n">
        <x:f>I86-L86-P86</x:f>
        <x:v>4.8</x:v>
      </x:c>
      <x:c r="T86" s="28" t="n">
        <x:f>J86-M86-Q86</x:f>
        <x:v>7.2</x:v>
      </x:c>
      <x:c r="U86" s="28" t="n">
        <x:f>K86-N86-R86</x:f>
        <x:v>32</x:v>
      </x:c>
      <x:c r="V86" s="28" t="n">
        <x:f>'參數'!$C$44</x:f>
        <x:v>0</x:v>
      </x:c>
      <x:c r="W86" s="28" t="n">
        <x:f>'參數'!$C$45</x:f>
        <x:v>0</x:v>
      </x:c>
      <x:c r="X86" s="28" t="n">
        <x:f>'參數'!$C$46</x:f>
        <x:v>0</x:v>
      </x:c>
      <x:c r="Y86" s="28" t="n">
        <x:f>V86*IF($B86="relE",$D86,IF($C86="relE",$E86,'參數'!$C$17))+L86*IF($B86="nowE",$D86,IF($C86="nowE",$E86,'參數'!$C$14))</x:f>
        <x:v>4</x:v>
      </x:c>
      <x:c r="Z86" s="28" t="n">
        <x:f>W86*IF($B86="relM",$D86,IF($C86="relM",$E86,'參數'!$C$18))+M86*IF($B86="nowM",$D86,IF($C86="nowM",$E86,'參數'!$C$15))</x:f>
        <x:v>6</x:v>
      </x:c>
      <x:c r="AA86" s="28" t="n">
        <x:f>X86*IF($B86="relA",$D86,IF($C86="relA",$E86,'參數'!$C$19))+N86*IF($B86="nowA",$D86,IF($C86="nowA",$E86,'參數'!$C$16))</x:f>
        <x:v>0</x:v>
      </x:c>
      <x:c r="AB86" s="28" t="n">
        <x:f>Y86+Z86+AA86</x:f>
        <x:v>10</x:v>
      </x:c>
      <x:c r="AC86" s="28" t="n">
        <x:f>IF($B86="capacity",$D86,IF($C86="capacity",$E86,'參數'!$C$20))</x:f>
        <x:v>10</x:v>
      </x:c>
      <x:c r="AD86" s="28" t="n">
        <x:f>IF(AC86=0,0,AB86/AC86)</x:f>
        <x:v>1</x:v>
      </x:c>
      <x:c r="AE86" s="29" t="n">
        <x:f>MAX(0,AD86-1)*IF($B86="congestion",$D86,IF($C86="congestion",$E86,'參數'!$C$28))</x:f>
        <x:v>0</x:v>
      </x:c>
      <x:c r="AF86" s="29" t="n">
        <x:f>1-(1-(IF($B86="gmE",$D86,IF($C86="gmE",$E86,'參數'!$C$21))+IF($B86="shock",$D86,IF($C86="shock",$E86,'參數'!$C$26))))*(1+IF($B86="inflation",$D86,IF($C86="inflation",$E86,'參數'!$C$27)))-AE86</x:f>
        <x:v>0.12</x:v>
      </x:c>
      <x:c r="AG86" s="29" t="n">
        <x:f>1-(1-(IF($B86="gmM",$D86,IF($C86="gmM",$E86,'參數'!$C$22))+IF($B86="dev",$D86,IF($C86="dev",$E86,'參數'!$C$23))*IF($B86="devReal",$D86,IF($C86="devReal",$E86,'參數'!$C$24))+IF($B86="shock",$D86,IF($C86="shock",$E86,'參數'!$C$26))))*(1+IF($B86="inflation",$D86,IF($C86="inflation",$E86,'參數'!$C$27)))-AE86</x:f>
        <x:v>0.17999999999999994</x:v>
      </x:c>
      <x:c r="AH86" s="29" t="n">
        <x:f>1-(1-(IF($B86="gmA",$D86,IF($C86="gmA",$E86,'參數'!$C$25))+IF($B86="shock",$D86,IF($C86="shock",$E86,'參數'!$C$26))))*(1+IF($B86="inflation",$D86,IF($C86="inflation",$E86,'參數'!$C$27)))-AE86</x:f>
        <x:v>0.16000000000000003</x:v>
      </x:c>
      <x:c r="AI86" s="29" t="n">
        <x:f>IF(AB86=0,0,(Y86*AF86+Z86*AG86+AA86*AH86)/AB86)</x:f>
        <x:v>0.15599999999999997</x:v>
      </x:c>
      <x:c r="AJ86" s="28" t="n">
        <x:f>'參數'!$C$43</x:f>
        <x:v>1</x:v>
      </x:c>
      <x:c r="AK86" s="28" t="n">
        <x:f>MAX(0,(IF($B86="dso",$D86,IF($C86="dso",$E86,'參數'!$C$32))-(1-AI86)*IF($B86="dpo",$D86,IF($C86="dpo",$E86,'參數'!$C$33)))/365)</x:f>
        <x:v>0.10783561643835614</x:v>
      </x:c>
      <x:c r="AL86" s="28" t="n">
        <x:f>IF(AK86=0,AB86,(MAX(0,AJ86)+IF($B86="credit",$D86,IF($C86="credit",$E86,'參數'!$C$37)))/AK86)</x:f>
        <x:v>37.09349593495936</x:v>
      </x:c>
      <x:c r="AM86" s="28" t="n">
        <x:f>MIN(AB86,AC86,AL86)</x:f>
        <x:v>10</x:v>
      </x:c>
      <x:c r="AN86" s="28" t="n">
        <x:f>IF(AB86=0,0,AM86*Y86/AB86)</x:f>
        <x:v>4</x:v>
      </x:c>
      <x:c r="AO86" s="28" t="n">
        <x:f>IF(AB86=0,0,AM86*Z86/AB86)</x:f>
        <x:v>6</x:v>
      </x:c>
      <x:c r="AP86" s="28" t="n">
        <x:f>IF(AB86=0,0,AM86*AA86/AB86)</x:f>
        <x:v>0</x:v>
      </x:c>
      <x:c r="AQ86" s="28" t="n">
        <x:f>V86+L86-AN86</x:f>
        <x:v>0</x:v>
      </x:c>
      <x:c r="AR86" s="28" t="n">
        <x:f>W86+M86-AO86</x:f>
        <x:v>0</x:v>
      </x:c>
      <x:c r="AS86" s="28" t="n">
        <x:f>X86+N86-AP86</x:f>
        <x:v>10</x:v>
      </x:c>
      <x:c r="AT86" s="28" t="n">
        <x:f>AQ86+AR86+AS86</x:f>
        <x:v>10</x:v>
      </x:c>
      <x:c r="AU86" s="28" t="n">
        <x:f>AN86*(1-AF86)+AO86*(1-AG86)+AP86*(1-AH86)</x:f>
        <x:v>8.44</x:v>
      </x:c>
      <x:c r="AV86" s="28" t="n">
        <x:f>AM86-AU86</x:f>
        <x:v>1.5600000000000005</x:v>
      </x:c>
      <x:c r="AW86" s="29" t="n">
        <x:f>IF(AM86=0,0,AV86/AM86)</x:f>
        <x:v>0.15600000000000006</x:v>
      </x:c>
      <x:c r="AX86" s="28" t="n">
        <x:f>IF($B86="head",$D86,IF($C86="head",$E86,'參數'!$C$29))*IF($B86="wage",$D86,IF($C86="wage",$E86,'參數'!$C$30))</x:f>
        <x:v>0.22</x:v>
      </x:c>
      <x:c r="AY86" s="28" t="n">
        <x:f>IF($B86="opex",$D86,IF($C86="opex",$E86,'參數'!$C$31))</x:f>
        <x:v>0.276</x:v>
      </x:c>
      <x:c r="AZ86" s="28" t="n">
        <x:f>AX86+AY86</x:f>
        <x:v>0.496</x:v>
      </x:c>
      <x:c r="BA86" s="28" t="n">
        <x:f>AV86-AZ86</x:f>
        <x:v>1.0640000000000005</x:v>
      </x:c>
      <x:c r="BB86" s="28" t="n">
        <x:f>AM86*AK86</x:f>
        <x:v>1.0783561643835613</x:v>
      </x:c>
      <x:c r="BC86" s="28" t="n">
        <x:f>0</x:f>
        <x:v>0</x:v>
      </x:c>
      <x:c r="BD86" s="28" t="n">
        <x:f>MAX(0,BB86-MAX(0,AJ86))</x:f>
        <x:v>0.0783561643835613</x:v>
      </x:c>
      <x:c r="BE86" s="28" t="n">
        <x:f>(BC86+BD86)/2</x:f>
        <x:v>0.03917808219178065</x:v>
      </x:c>
      <x:c r="BF86" s="28" t="n">
        <x:f>BE86*IF($B86="rate",$D86,IF($C86="rate",$E86,'參數'!$C$34))</x:f>
        <x:v>0.001567123287671226</x:v>
      </x:c>
      <x:c r="BG86" s="28" t="n">
        <x:f>IF($B86="nonop",$D86,IF($C86="nonop",$E86,'參數'!$C$36))</x:f>
        <x:v>0.02</x:v>
      </x:c>
      <x:c r="BH86" s="28" t="n">
        <x:f>BA86+BG86-BF86</x:f>
        <x:v>1.0824328767123292</x:v>
      </x:c>
      <x:c r="BI86" s="28" t="n">
        <x:f>MAX(0,BH86)*IF($B86="tax",$D86,IF($C86="tax",$E86,'參數'!$C$35))</x:f>
        <x:v>0.21648657534246585</x:v>
      </x:c>
      <x:c r="BJ86" s="28" t="n">
        <x:f>BH86-BI86</x:f>
        <x:v>0.8659463013698634</x:v>
      </x:c>
      <x:c r="BK86" s="29" t="n">
        <x:f>IF(AM86=0,0,BJ86/AM86)</x:f>
        <x:v>0.08659463013698634</x:v>
      </x:c>
      <x:c r="BL86" s="28" t="n">
        <x:f>IF(BJ86&gt;=0,BJ86*IF($B86="retain",$D86,IF($C86="retain",$E86,'參數'!$C$38)),BJ86)</x:f>
        <x:v>0.4329731506849317</x:v>
      </x:c>
      <x:c r="BM86" s="28" t="n">
        <x:f>AJ86+BL86</x:f>
        <x:v>1.4329731506849317</x:v>
      </x:c>
      <x:c r="BN86" s="28" t="n">
        <x:f>MAX(0,AB86-AC86)</x:f>
        <x:v>0</x:v>
      </x:c>
      <x:c r="BO86" s="28" t="n">
        <x:f>MAX(0,MIN(AB86,AC86)-AM86)</x:f>
        <x:v>0</x:v>
      </x:c>
    </x:row>
    <x:row r="87" ht="24" customHeight="1">
      <x:c r="A87" s="2" t="str">
        <x:v>應收帳款天數低端</x:v>
      </x:c>
      <x:c r="B87" s="2" t="str">
        <x:v>dso</x:v>
      </x:c>
      <x:c r="C87" s="2" t="str"/>
      <x:c r="D87" s="11" t="n">
        <x:f>C19</x:f>
        <x:v>60</x:v>
      </x:c>
      <x:c r="E87" s="11" t="n">
        <x:f>0</x:f>
        <x:v>0</x:v>
      </x:c>
      <x:c r="F87" s="11" t="n">
        <x:f>'參數'!$C$47</x:f>
        <x:v>0</x:v>
      </x:c>
      <x:c r="G87" s="11" t="n">
        <x:f>'參數'!$C$48</x:f>
        <x:v>0</x:v>
      </x:c>
      <x:c r="H87" s="11" t="n">
        <x:f>'參數'!$C$49</x:f>
        <x:v>0</x:v>
      </x:c>
      <x:c r="I87" s="11" t="n">
        <x:f>F87+IF($B87="pE",$D87,IF($C87="pE",$E87,'參數'!$C$5))*IF($B87="scale",$D87,IF($C87="scale",$E87,'參數'!$C$8))</x:f>
        <x:v>10</x:v>
      </x:c>
      <x:c r="J87" s="11" t="n">
        <x:f>G87+IF($B87="pM",$D87,IF($C87="pM",$E87,'參數'!$C$6))*IF($B87="scale",$D87,IF($C87="scale",$E87,'參數'!$C$8))</x:f>
        <x:v>15</x:v>
      </x:c>
      <x:c r="K87" s="11" t="n">
        <x:f>H87+IF($B87="pA",$D87,IF($C87="pA",$E87,'參數'!$C$7))*IF($B87="scale",$D87,IF($C87="scale",$E87,'參數'!$C$8))</x:f>
        <x:v>50</x:v>
      </x:c>
      <x:c r="L87" s="11" t="n">
        <x:f>I87*IF($B87="winE",$D87,IF($C87="winE",$E87,'參數'!$C$9))</x:f>
        <x:v>4</x:v>
      </x:c>
      <x:c r="M87" s="28" t="n">
        <x:f>J87*IF($B87="winM",$D87,IF($C87="winM",$E87,'參數'!$C$10))</x:f>
        <x:v>6</x:v>
      </x:c>
      <x:c r="N87" s="28" t="n">
        <x:f>MIN(K87,IF($B87="readyA",$D87,IF($C87="readyA",$E87,'參數'!$C$11))*IF($B87="gateA",$D87,IF($C87="gateA",$E87,'參數'!$C$12)))</x:f>
        <x:v>10</x:v>
      </x:c>
      <x:c r="O87" s="28" t="n">
        <x:f>L87+M87+N87</x:f>
        <x:v>20</x:v>
      </x:c>
      <x:c r="P87" s="28" t="n">
        <x:f>(I87-L87)*IF($B87="attrition",$D87,IF($C87="attrition",$E87,'參數'!$C$13))</x:f>
        <x:v>1.2000000000000002</x:v>
      </x:c>
      <x:c r="Q87" s="28" t="n">
        <x:f>(J87-M87)*IF($B87="attrition",$D87,IF($C87="attrition",$E87,'參數'!$C$13))</x:f>
        <x:v>1.8</x:v>
      </x:c>
      <x:c r="R87" s="28" t="n">
        <x:f>(K87-N87)*IF($B87="attrition",$D87,IF($C87="attrition",$E87,'參數'!$C$13))</x:f>
        <x:v>8</x:v>
      </x:c>
      <x:c r="S87" s="28" t="n">
        <x:f>I87-L87-P87</x:f>
        <x:v>4.8</x:v>
      </x:c>
      <x:c r="T87" s="28" t="n">
        <x:f>J87-M87-Q87</x:f>
        <x:v>7.2</x:v>
      </x:c>
      <x:c r="U87" s="28" t="n">
        <x:f>K87-N87-R87</x:f>
        <x:v>32</x:v>
      </x:c>
      <x:c r="V87" s="28" t="n">
        <x:f>'參數'!$C$44</x:f>
        <x:v>0</x:v>
      </x:c>
      <x:c r="W87" s="28" t="n">
        <x:f>'參數'!$C$45</x:f>
        <x:v>0</x:v>
      </x:c>
      <x:c r="X87" s="28" t="n">
        <x:f>'參數'!$C$46</x:f>
        <x:v>0</x:v>
      </x:c>
      <x:c r="Y87" s="28" t="n">
        <x:f>V87*IF($B87="relE",$D87,IF($C87="relE",$E87,'參數'!$C$17))+L87*IF($B87="nowE",$D87,IF($C87="nowE",$E87,'參數'!$C$14))</x:f>
        <x:v>4</x:v>
      </x:c>
      <x:c r="Z87" s="28" t="n">
        <x:f>W87*IF($B87="relM",$D87,IF($C87="relM",$E87,'參數'!$C$18))+M87*IF($B87="nowM",$D87,IF($C87="nowM",$E87,'參數'!$C$15))</x:f>
        <x:v>6</x:v>
      </x:c>
      <x:c r="AA87" s="28" t="n">
        <x:f>X87*IF($B87="relA",$D87,IF($C87="relA",$E87,'參數'!$C$19))+N87*IF($B87="nowA",$D87,IF($C87="nowA",$E87,'參數'!$C$16))</x:f>
        <x:v>0</x:v>
      </x:c>
      <x:c r="AB87" s="28" t="n">
        <x:f>Y87+Z87+AA87</x:f>
        <x:v>10</x:v>
      </x:c>
      <x:c r="AC87" s="28" t="n">
        <x:f>IF($B87="capacity",$D87,IF($C87="capacity",$E87,'參數'!$C$20))</x:f>
        <x:v>10</x:v>
      </x:c>
      <x:c r="AD87" s="28" t="n">
        <x:f>IF(AC87=0,0,AB87/AC87)</x:f>
        <x:v>1</x:v>
      </x:c>
      <x:c r="AE87" s="29" t="n">
        <x:f>MAX(0,AD87-1)*IF($B87="congestion",$D87,IF($C87="congestion",$E87,'參數'!$C$28))</x:f>
        <x:v>0</x:v>
      </x:c>
      <x:c r="AF87" s="29" t="n">
        <x:f>1-(1-(IF($B87="gmE",$D87,IF($C87="gmE",$E87,'參數'!$C$21))+IF($B87="shock",$D87,IF($C87="shock",$E87,'參數'!$C$26))))*(1+IF($B87="inflation",$D87,IF($C87="inflation",$E87,'參數'!$C$27)))-AE87</x:f>
        <x:v>0.12</x:v>
      </x:c>
      <x:c r="AG87" s="29" t="n">
        <x:f>1-(1-(IF($B87="gmM",$D87,IF($C87="gmM",$E87,'參數'!$C$22))+IF($B87="dev",$D87,IF($C87="dev",$E87,'參數'!$C$23))*IF($B87="devReal",$D87,IF($C87="devReal",$E87,'參數'!$C$24))+IF($B87="shock",$D87,IF($C87="shock",$E87,'參數'!$C$26))))*(1+IF($B87="inflation",$D87,IF($C87="inflation",$E87,'參數'!$C$27)))-AE87</x:f>
        <x:v>0.17999999999999994</x:v>
      </x:c>
      <x:c r="AH87" s="29" t="n">
        <x:f>1-(1-(IF($B87="gmA",$D87,IF($C87="gmA",$E87,'參數'!$C$25))+IF($B87="shock",$D87,IF($C87="shock",$E87,'參數'!$C$26))))*(1+IF($B87="inflation",$D87,IF($C87="inflation",$E87,'參數'!$C$27)))-AE87</x:f>
        <x:v>0.16000000000000003</x:v>
      </x:c>
      <x:c r="AI87" s="29" t="n">
        <x:f>IF(AB87=0,0,(Y87*AF87+Z87*AG87+AA87*AH87)/AB87)</x:f>
        <x:v>0.15599999999999997</x:v>
      </x:c>
      <x:c r="AJ87" s="28" t="n">
        <x:f>'參數'!$C$43</x:f>
        <x:v>1</x:v>
      </x:c>
      <x:c r="AK87" s="28" t="n">
        <x:f>MAX(0,(IF($B87="dso",$D87,IF($C87="dso",$E87,'參數'!$C$32))-(1-AI87)*IF($B87="dpo",$D87,IF($C87="dpo",$E87,'參數'!$C$33)))/365)</x:f>
        <x:v>0.025643835616438335</x:v>
      </x:c>
      <x:c r="AL87" s="28" t="n">
        <x:f>IF(AK87=0,AB87,(MAX(0,AJ87)+IF($B87="credit",$D87,IF($C87="credit",$E87,'參數'!$C$37)))/AK87)</x:f>
        <x:v>155.98290598290612</x:v>
      </x:c>
      <x:c r="AM87" s="28" t="n">
        <x:f>MIN(AB87,AC87,AL87)</x:f>
        <x:v>10</x:v>
      </x:c>
      <x:c r="AN87" s="28" t="n">
        <x:f>IF(AB87=0,0,AM87*Y87/AB87)</x:f>
        <x:v>4</x:v>
      </x:c>
      <x:c r="AO87" s="28" t="n">
        <x:f>IF(AB87=0,0,AM87*Z87/AB87)</x:f>
        <x:v>6</x:v>
      </x:c>
      <x:c r="AP87" s="28" t="n">
        <x:f>IF(AB87=0,0,AM87*AA87/AB87)</x:f>
        <x:v>0</x:v>
      </x:c>
      <x:c r="AQ87" s="28" t="n">
        <x:f>V87+L87-AN87</x:f>
        <x:v>0</x:v>
      </x:c>
      <x:c r="AR87" s="28" t="n">
        <x:f>W87+M87-AO87</x:f>
        <x:v>0</x:v>
      </x:c>
      <x:c r="AS87" s="28" t="n">
        <x:f>X87+N87-AP87</x:f>
        <x:v>10</x:v>
      </x:c>
      <x:c r="AT87" s="28" t="n">
        <x:f>AQ87+AR87+AS87</x:f>
        <x:v>10</x:v>
      </x:c>
      <x:c r="AU87" s="28" t="n">
        <x:f>AN87*(1-AF87)+AO87*(1-AG87)+AP87*(1-AH87)</x:f>
        <x:v>8.44</x:v>
      </x:c>
      <x:c r="AV87" s="28" t="n">
        <x:f>AM87-AU87</x:f>
        <x:v>1.5600000000000005</x:v>
      </x:c>
      <x:c r="AW87" s="29" t="n">
        <x:f>IF(AM87=0,0,AV87/AM87)</x:f>
        <x:v>0.15600000000000006</x:v>
      </x:c>
      <x:c r="AX87" s="28" t="n">
        <x:f>IF($B87="head",$D87,IF($C87="head",$E87,'參數'!$C$29))*IF($B87="wage",$D87,IF($C87="wage",$E87,'參數'!$C$30))</x:f>
        <x:v>0.22</x:v>
      </x:c>
      <x:c r="AY87" s="28" t="n">
        <x:f>IF($B87="opex",$D87,IF($C87="opex",$E87,'參數'!$C$31))</x:f>
        <x:v>0.23</x:v>
      </x:c>
      <x:c r="AZ87" s="28" t="n">
        <x:f>AX87+AY87</x:f>
        <x:v>0.45</x:v>
      </x:c>
      <x:c r="BA87" s="28" t="n">
        <x:f>AV87-AZ87</x:f>
        <x:v>1.1100000000000005</x:v>
      </x:c>
      <x:c r="BB87" s="28" t="n">
        <x:f>AM87*AK87</x:f>
        <x:v>0.2564383561643834</x:v>
      </x:c>
      <x:c r="BC87" s="28" t="n">
        <x:f>0</x:f>
        <x:v>0</x:v>
      </x:c>
      <x:c r="BD87" s="28" t="n">
        <x:f>MAX(0,BB87-MAX(0,AJ87))</x:f>
        <x:v>0</x:v>
      </x:c>
      <x:c r="BE87" s="28" t="n">
        <x:f>(BC87+BD87)/2</x:f>
        <x:v>0</x:v>
      </x:c>
      <x:c r="BF87" s="28" t="n">
        <x:f>BE87*IF($B87="rate",$D87,IF($C87="rate",$E87,'參數'!$C$34))</x:f>
        <x:v>0</x:v>
      </x:c>
      <x:c r="BG87" s="28" t="n">
        <x:f>IF($B87="nonop",$D87,IF($C87="nonop",$E87,'參數'!$C$36))</x:f>
        <x:v>0.02</x:v>
      </x:c>
      <x:c r="BH87" s="28" t="n">
        <x:f>BA87+BG87-BF87</x:f>
        <x:v>1.1300000000000006</x:v>
      </x:c>
      <x:c r="BI87" s="28" t="n">
        <x:f>MAX(0,BH87)*IF($B87="tax",$D87,IF($C87="tax",$E87,'參數'!$C$35))</x:f>
        <x:v>0.22600000000000012</x:v>
      </x:c>
      <x:c r="BJ87" s="28" t="n">
        <x:f>BH87-BI87</x:f>
        <x:v>0.9040000000000005</x:v>
      </x:c>
      <x:c r="BK87" s="29" t="n">
        <x:f>IF(AM87=0,0,BJ87/AM87)</x:f>
        <x:v>0.09040000000000005</x:v>
      </x:c>
      <x:c r="BL87" s="28" t="n">
        <x:f>IF(BJ87&gt;=0,BJ87*IF($B87="retain",$D87,IF($C87="retain",$E87,'參數'!$C$38)),BJ87)</x:f>
        <x:v>0.45200000000000023</x:v>
      </x:c>
      <x:c r="BM87" s="28" t="n">
        <x:f>AJ87+BL87</x:f>
        <x:v>1.4520000000000002</x:v>
      </x:c>
      <x:c r="BN87" s="28" t="n">
        <x:f>MAX(0,AB87-AC87)</x:f>
        <x:v>0</x:v>
      </x:c>
      <x:c r="BO87" s="28" t="n">
        <x:f>MAX(0,MIN(AB87,AC87)-AM87)</x:f>
        <x:v>0</x:v>
      </x:c>
    </x:row>
    <x:row r="88" ht="24" customHeight="1">
      <x:c r="A88" s="2" t="str">
        <x:v>應收帳款天數高端</x:v>
      </x:c>
      <x:c r="B88" s="2" t="str">
        <x:v>dso</x:v>
      </x:c>
      <x:c r="C88" s="2" t="str"/>
      <x:c r="D88" s="11" t="n">
        <x:f>D19</x:f>
        <x:v>120</x:v>
      </x:c>
      <x:c r="E88" s="11" t="n">
        <x:f>0</x:f>
        <x:v>0</x:v>
      </x:c>
      <x:c r="F88" s="11" t="n">
        <x:f>'參數'!$C$47</x:f>
        <x:v>0</x:v>
      </x:c>
      <x:c r="G88" s="11" t="n">
        <x:f>'參數'!$C$48</x:f>
        <x:v>0</x:v>
      </x:c>
      <x:c r="H88" s="11" t="n">
        <x:f>'參數'!$C$49</x:f>
        <x:v>0</x:v>
      </x:c>
      <x:c r="I88" s="11" t="n">
        <x:f>F88+IF($B88="pE",$D88,IF($C88="pE",$E88,'參數'!$C$5))*IF($B88="scale",$D88,IF($C88="scale",$E88,'參數'!$C$8))</x:f>
        <x:v>10</x:v>
      </x:c>
      <x:c r="J88" s="11" t="n">
        <x:f>G88+IF($B88="pM",$D88,IF($C88="pM",$E88,'參數'!$C$6))*IF($B88="scale",$D88,IF($C88="scale",$E88,'參數'!$C$8))</x:f>
        <x:v>15</x:v>
      </x:c>
      <x:c r="K88" s="11" t="n">
        <x:f>H88+IF($B88="pA",$D88,IF($C88="pA",$E88,'參數'!$C$7))*IF($B88="scale",$D88,IF($C88="scale",$E88,'參數'!$C$8))</x:f>
        <x:v>50</x:v>
      </x:c>
      <x:c r="L88" s="11" t="n">
        <x:f>I88*IF($B88="winE",$D88,IF($C88="winE",$E88,'參數'!$C$9))</x:f>
        <x:v>4</x:v>
      </x:c>
      <x:c r="M88" s="28" t="n">
        <x:f>J88*IF($B88="winM",$D88,IF($C88="winM",$E88,'參數'!$C$10))</x:f>
        <x:v>6</x:v>
      </x:c>
      <x:c r="N88" s="28" t="n">
        <x:f>MIN(K88,IF($B88="readyA",$D88,IF($C88="readyA",$E88,'參數'!$C$11))*IF($B88="gateA",$D88,IF($C88="gateA",$E88,'參數'!$C$12)))</x:f>
        <x:v>10</x:v>
      </x:c>
      <x:c r="O88" s="28" t="n">
        <x:f>L88+M88+N88</x:f>
        <x:v>20</x:v>
      </x:c>
      <x:c r="P88" s="28" t="n">
        <x:f>(I88-L88)*IF($B88="attrition",$D88,IF($C88="attrition",$E88,'參數'!$C$13))</x:f>
        <x:v>1.2000000000000002</x:v>
      </x:c>
      <x:c r="Q88" s="28" t="n">
        <x:f>(J88-M88)*IF($B88="attrition",$D88,IF($C88="attrition",$E88,'參數'!$C$13))</x:f>
        <x:v>1.8</x:v>
      </x:c>
      <x:c r="R88" s="28" t="n">
        <x:f>(K88-N88)*IF($B88="attrition",$D88,IF($C88="attrition",$E88,'參數'!$C$13))</x:f>
        <x:v>8</x:v>
      </x:c>
      <x:c r="S88" s="28" t="n">
        <x:f>I88-L88-P88</x:f>
        <x:v>4.8</x:v>
      </x:c>
      <x:c r="T88" s="28" t="n">
        <x:f>J88-M88-Q88</x:f>
        <x:v>7.2</x:v>
      </x:c>
      <x:c r="U88" s="28" t="n">
        <x:f>K88-N88-R88</x:f>
        <x:v>32</x:v>
      </x:c>
      <x:c r="V88" s="28" t="n">
        <x:f>'參數'!$C$44</x:f>
        <x:v>0</x:v>
      </x:c>
      <x:c r="W88" s="28" t="n">
        <x:f>'參數'!$C$45</x:f>
        <x:v>0</x:v>
      </x:c>
      <x:c r="X88" s="28" t="n">
        <x:f>'參數'!$C$46</x:f>
        <x:v>0</x:v>
      </x:c>
      <x:c r="Y88" s="28" t="n">
        <x:f>V88*IF($B88="relE",$D88,IF($C88="relE",$E88,'參數'!$C$17))+L88*IF($B88="nowE",$D88,IF($C88="nowE",$E88,'參數'!$C$14))</x:f>
        <x:v>4</x:v>
      </x:c>
      <x:c r="Z88" s="28" t="n">
        <x:f>W88*IF($B88="relM",$D88,IF($C88="relM",$E88,'參數'!$C$18))+M88*IF($B88="nowM",$D88,IF($C88="nowM",$E88,'參數'!$C$15))</x:f>
        <x:v>6</x:v>
      </x:c>
      <x:c r="AA88" s="28" t="n">
        <x:f>X88*IF($B88="relA",$D88,IF($C88="relA",$E88,'參數'!$C$19))+N88*IF($B88="nowA",$D88,IF($C88="nowA",$E88,'參數'!$C$16))</x:f>
        <x:v>0</x:v>
      </x:c>
      <x:c r="AB88" s="28" t="n">
        <x:f>Y88+Z88+AA88</x:f>
        <x:v>10</x:v>
      </x:c>
      <x:c r="AC88" s="28" t="n">
        <x:f>IF($B88="capacity",$D88,IF($C88="capacity",$E88,'參數'!$C$20))</x:f>
        <x:v>10</x:v>
      </x:c>
      <x:c r="AD88" s="28" t="n">
        <x:f>IF(AC88=0,0,AB88/AC88)</x:f>
        <x:v>1</x:v>
      </x:c>
      <x:c r="AE88" s="29" t="n">
        <x:f>MAX(0,AD88-1)*IF($B88="congestion",$D88,IF($C88="congestion",$E88,'參數'!$C$28))</x:f>
        <x:v>0</x:v>
      </x:c>
      <x:c r="AF88" s="29" t="n">
        <x:f>1-(1-(IF($B88="gmE",$D88,IF($C88="gmE",$E88,'參數'!$C$21))+IF($B88="shock",$D88,IF($C88="shock",$E88,'參數'!$C$26))))*(1+IF($B88="inflation",$D88,IF($C88="inflation",$E88,'參數'!$C$27)))-AE88</x:f>
        <x:v>0.12</x:v>
      </x:c>
      <x:c r="AG88" s="29" t="n">
        <x:f>1-(1-(IF($B88="gmM",$D88,IF($C88="gmM",$E88,'參數'!$C$22))+IF($B88="dev",$D88,IF($C88="dev",$E88,'參數'!$C$23))*IF($B88="devReal",$D88,IF($C88="devReal",$E88,'參數'!$C$24))+IF($B88="shock",$D88,IF($C88="shock",$E88,'參數'!$C$26))))*(1+IF($B88="inflation",$D88,IF($C88="inflation",$E88,'參數'!$C$27)))-AE88</x:f>
        <x:v>0.17999999999999994</x:v>
      </x:c>
      <x:c r="AH88" s="29" t="n">
        <x:f>1-(1-(IF($B88="gmA",$D88,IF($C88="gmA",$E88,'參數'!$C$25))+IF($B88="shock",$D88,IF($C88="shock",$E88,'參數'!$C$26))))*(1+IF($B88="inflation",$D88,IF($C88="inflation",$E88,'參數'!$C$27)))-AE88</x:f>
        <x:v>0.16000000000000003</x:v>
      </x:c>
      <x:c r="AI88" s="29" t="n">
        <x:f>IF(AB88=0,0,(Y88*AF88+Z88*AG88+AA88*AH88)/AB88)</x:f>
        <x:v>0.15599999999999997</x:v>
      </x:c>
      <x:c r="AJ88" s="28" t="n">
        <x:f>'參數'!$C$43</x:f>
        <x:v>1</x:v>
      </x:c>
      <x:c r="AK88" s="28" t="n">
        <x:f>MAX(0,(IF($B88="dso",$D88,IF($C88="dso",$E88,'參數'!$C$32))-(1-AI88)*IF($B88="dpo",$D88,IF($C88="dpo",$E88,'參數'!$C$33)))/365)</x:f>
        <x:v>0.19002739726027393</x:v>
      </x:c>
      <x:c r="AL88" s="28" t="n">
        <x:f>IF(AK88=0,AB88,(MAX(0,AJ88)+IF($B88="credit",$D88,IF($C88="credit",$E88,'參數'!$C$37)))/AK88)</x:f>
        <x:v>21.049596309111884</x:v>
      </x:c>
      <x:c r="AM88" s="28" t="n">
        <x:f>MIN(AB88,AC88,AL88)</x:f>
        <x:v>10</x:v>
      </x:c>
      <x:c r="AN88" s="28" t="n">
        <x:f>IF(AB88=0,0,AM88*Y88/AB88)</x:f>
        <x:v>4</x:v>
      </x:c>
      <x:c r="AO88" s="28" t="n">
        <x:f>IF(AB88=0,0,AM88*Z88/AB88)</x:f>
        <x:v>6</x:v>
      </x:c>
      <x:c r="AP88" s="28" t="n">
        <x:f>IF(AB88=0,0,AM88*AA88/AB88)</x:f>
        <x:v>0</x:v>
      </x:c>
      <x:c r="AQ88" s="28" t="n">
        <x:f>V88+L88-AN88</x:f>
        <x:v>0</x:v>
      </x:c>
      <x:c r="AR88" s="28" t="n">
        <x:f>W88+M88-AO88</x:f>
        <x:v>0</x:v>
      </x:c>
      <x:c r="AS88" s="28" t="n">
        <x:f>X88+N88-AP88</x:f>
        <x:v>10</x:v>
      </x:c>
      <x:c r="AT88" s="28" t="n">
        <x:f>AQ88+AR88+AS88</x:f>
        <x:v>10</x:v>
      </x:c>
      <x:c r="AU88" s="28" t="n">
        <x:f>AN88*(1-AF88)+AO88*(1-AG88)+AP88*(1-AH88)</x:f>
        <x:v>8.44</x:v>
      </x:c>
      <x:c r="AV88" s="28" t="n">
        <x:f>AM88-AU88</x:f>
        <x:v>1.5600000000000005</x:v>
      </x:c>
      <x:c r="AW88" s="29" t="n">
        <x:f>IF(AM88=0,0,AV88/AM88)</x:f>
        <x:v>0.15600000000000006</x:v>
      </x:c>
      <x:c r="AX88" s="28" t="n">
        <x:f>IF($B88="head",$D88,IF($C88="head",$E88,'參數'!$C$29))*IF($B88="wage",$D88,IF($C88="wage",$E88,'參數'!$C$30))</x:f>
        <x:v>0.22</x:v>
      </x:c>
      <x:c r="AY88" s="28" t="n">
        <x:f>IF($B88="opex",$D88,IF($C88="opex",$E88,'參數'!$C$31))</x:f>
        <x:v>0.23</x:v>
      </x:c>
      <x:c r="AZ88" s="28" t="n">
        <x:f>AX88+AY88</x:f>
        <x:v>0.45</x:v>
      </x:c>
      <x:c r="BA88" s="28" t="n">
        <x:f>AV88-AZ88</x:f>
        <x:v>1.1100000000000005</x:v>
      </x:c>
      <x:c r="BB88" s="28" t="n">
        <x:f>AM88*AK88</x:f>
        <x:v>1.9002739726027393</x:v>
      </x:c>
      <x:c r="BC88" s="28" t="n">
        <x:f>0</x:f>
        <x:v>0</x:v>
      </x:c>
      <x:c r="BD88" s="28" t="n">
        <x:f>MAX(0,BB88-MAX(0,AJ88))</x:f>
        <x:v>0.9002739726027393</x:v>
      </x:c>
      <x:c r="BE88" s="28" t="n">
        <x:f>(BC88+BD88)/2</x:f>
        <x:v>0.45013698630136967</x:v>
      </x:c>
      <x:c r="BF88" s="28" t="n">
        <x:f>BE88*IF($B88="rate",$D88,IF($C88="rate",$E88,'參數'!$C$34))</x:f>
        <x:v>0.018005479452054787</x:v>
      </x:c>
      <x:c r="BG88" s="28" t="n">
        <x:f>IF($B88="nonop",$D88,IF($C88="nonop",$E88,'參數'!$C$36))</x:f>
        <x:v>0.02</x:v>
      </x:c>
      <x:c r="BH88" s="28" t="n">
        <x:f>BA88+BG88-BF88</x:f>
        <x:v>1.1119945205479458</x:v>
      </x:c>
      <x:c r="BI88" s="28" t="n">
        <x:f>MAX(0,BH88)*IF($B88="tax",$D88,IF($C88="tax",$E88,'參數'!$C$35))</x:f>
        <x:v>0.22239890410958918</x:v>
      </x:c>
      <x:c r="BJ88" s="28" t="n">
        <x:f>BH88-BI88</x:f>
        <x:v>0.8895956164383566</x:v>
      </x:c>
      <x:c r="BK88" s="29" t="n">
        <x:f>IF(AM88=0,0,BJ88/AM88)</x:f>
        <x:v>0.08895956164383566</x:v>
      </x:c>
      <x:c r="BL88" s="28" t="n">
        <x:f>IF(BJ88&gt;=0,BJ88*IF($B88="retain",$D88,IF($C88="retain",$E88,'參數'!$C$38)),BJ88)</x:f>
        <x:v>0.4447978082191783</x:v>
      </x:c>
      <x:c r="BM88" s="28" t="n">
        <x:f>AJ88+BL88</x:f>
        <x:v>1.4447978082191784</x:v>
      </x:c>
      <x:c r="BN88" s="28" t="n">
        <x:f>MAX(0,AB88-AC88)</x:f>
        <x:v>0</x:v>
      </x:c>
      <x:c r="BO88" s="28" t="n">
        <x:f>MAX(0,MIN(AB88,AC88)-AM88)</x:f>
        <x:v>0</x:v>
      </x:c>
    </x:row>
    <x:row r="89" ht="24" customHeight="1">
      <x:c r="A89" s="2" t="str">
        <x:v>應付帳款天數低端</x:v>
      </x:c>
      <x:c r="B89" s="2" t="str">
        <x:v>dpo</x:v>
      </x:c>
      <x:c r="C89" s="2" t="str"/>
      <x:c r="D89" s="11" t="n">
        <x:f>C20</x:f>
        <x:v>30</x:v>
      </x:c>
      <x:c r="E89" s="11" t="n">
        <x:f>0</x:f>
        <x:v>0</x:v>
      </x:c>
      <x:c r="F89" s="11" t="n">
        <x:f>'參數'!$C$47</x:f>
        <x:v>0</x:v>
      </x:c>
      <x:c r="G89" s="11" t="n">
        <x:f>'參數'!$C$48</x:f>
        <x:v>0</x:v>
      </x:c>
      <x:c r="H89" s="11" t="n">
        <x:f>'參數'!$C$49</x:f>
        <x:v>0</x:v>
      </x:c>
      <x:c r="I89" s="11" t="n">
        <x:f>F89+IF($B89="pE",$D89,IF($C89="pE",$E89,'參數'!$C$5))*IF($B89="scale",$D89,IF($C89="scale",$E89,'參數'!$C$8))</x:f>
        <x:v>10</x:v>
      </x:c>
      <x:c r="J89" s="11" t="n">
        <x:f>G89+IF($B89="pM",$D89,IF($C89="pM",$E89,'參數'!$C$6))*IF($B89="scale",$D89,IF($C89="scale",$E89,'參數'!$C$8))</x:f>
        <x:v>15</x:v>
      </x:c>
      <x:c r="K89" s="11" t="n">
        <x:f>H89+IF($B89="pA",$D89,IF($C89="pA",$E89,'參數'!$C$7))*IF($B89="scale",$D89,IF($C89="scale",$E89,'參數'!$C$8))</x:f>
        <x:v>50</x:v>
      </x:c>
      <x:c r="L89" s="11" t="n">
        <x:f>I89*IF($B89="winE",$D89,IF($C89="winE",$E89,'參數'!$C$9))</x:f>
        <x:v>4</x:v>
      </x:c>
      <x:c r="M89" s="28" t="n">
        <x:f>J89*IF($B89="winM",$D89,IF($C89="winM",$E89,'參數'!$C$10))</x:f>
        <x:v>6</x:v>
      </x:c>
      <x:c r="N89" s="28" t="n">
        <x:f>MIN(K89,IF($B89="readyA",$D89,IF($C89="readyA",$E89,'參數'!$C$11))*IF($B89="gateA",$D89,IF($C89="gateA",$E89,'參數'!$C$12)))</x:f>
        <x:v>10</x:v>
      </x:c>
      <x:c r="O89" s="28" t="n">
        <x:f>L89+M89+N89</x:f>
        <x:v>20</x:v>
      </x:c>
      <x:c r="P89" s="28" t="n">
        <x:f>(I89-L89)*IF($B89="attrition",$D89,IF($C89="attrition",$E89,'參數'!$C$13))</x:f>
        <x:v>1.2000000000000002</x:v>
      </x:c>
      <x:c r="Q89" s="28" t="n">
        <x:f>(J89-M89)*IF($B89="attrition",$D89,IF($C89="attrition",$E89,'參數'!$C$13))</x:f>
        <x:v>1.8</x:v>
      </x:c>
      <x:c r="R89" s="28" t="n">
        <x:f>(K89-N89)*IF($B89="attrition",$D89,IF($C89="attrition",$E89,'參數'!$C$13))</x:f>
        <x:v>8</x:v>
      </x:c>
      <x:c r="S89" s="28" t="n">
        <x:f>I89-L89-P89</x:f>
        <x:v>4.8</x:v>
      </x:c>
      <x:c r="T89" s="28" t="n">
        <x:f>J89-M89-Q89</x:f>
        <x:v>7.2</x:v>
      </x:c>
      <x:c r="U89" s="28" t="n">
        <x:f>K89-N89-R89</x:f>
        <x:v>32</x:v>
      </x:c>
      <x:c r="V89" s="28" t="n">
        <x:f>'參數'!$C$44</x:f>
        <x:v>0</x:v>
      </x:c>
      <x:c r="W89" s="28" t="n">
        <x:f>'參數'!$C$45</x:f>
        <x:v>0</x:v>
      </x:c>
      <x:c r="X89" s="28" t="n">
        <x:f>'參數'!$C$46</x:f>
        <x:v>0</x:v>
      </x:c>
      <x:c r="Y89" s="28" t="n">
        <x:f>V89*IF($B89="relE",$D89,IF($C89="relE",$E89,'參數'!$C$17))+L89*IF($B89="nowE",$D89,IF($C89="nowE",$E89,'參數'!$C$14))</x:f>
        <x:v>4</x:v>
      </x:c>
      <x:c r="Z89" s="28" t="n">
        <x:f>W89*IF($B89="relM",$D89,IF($C89="relM",$E89,'參數'!$C$18))+M89*IF($B89="nowM",$D89,IF($C89="nowM",$E89,'參數'!$C$15))</x:f>
        <x:v>6</x:v>
      </x:c>
      <x:c r="AA89" s="28" t="n">
        <x:f>X89*IF($B89="relA",$D89,IF($C89="relA",$E89,'參數'!$C$19))+N89*IF($B89="nowA",$D89,IF($C89="nowA",$E89,'參數'!$C$16))</x:f>
        <x:v>0</x:v>
      </x:c>
      <x:c r="AB89" s="28" t="n">
        <x:f>Y89+Z89+AA89</x:f>
        <x:v>10</x:v>
      </x:c>
      <x:c r="AC89" s="28" t="n">
        <x:f>IF($B89="capacity",$D89,IF($C89="capacity",$E89,'參數'!$C$20))</x:f>
        <x:v>10</x:v>
      </x:c>
      <x:c r="AD89" s="28" t="n">
        <x:f>IF(AC89=0,0,AB89/AC89)</x:f>
        <x:v>1</x:v>
      </x:c>
      <x:c r="AE89" s="29" t="n">
        <x:f>MAX(0,AD89-1)*IF($B89="congestion",$D89,IF($C89="congestion",$E89,'參數'!$C$28))</x:f>
        <x:v>0</x:v>
      </x:c>
      <x:c r="AF89" s="29" t="n">
        <x:f>1-(1-(IF($B89="gmE",$D89,IF($C89="gmE",$E89,'參數'!$C$21))+IF($B89="shock",$D89,IF($C89="shock",$E89,'參數'!$C$26))))*(1+IF($B89="inflation",$D89,IF($C89="inflation",$E89,'參數'!$C$27)))-AE89</x:f>
        <x:v>0.12</x:v>
      </x:c>
      <x:c r="AG89" s="29" t="n">
        <x:f>1-(1-(IF($B89="gmM",$D89,IF($C89="gmM",$E89,'參數'!$C$22))+IF($B89="dev",$D89,IF($C89="dev",$E89,'參數'!$C$23))*IF($B89="devReal",$D89,IF($C89="devReal",$E89,'參數'!$C$24))+IF($B89="shock",$D89,IF($C89="shock",$E89,'參數'!$C$26))))*(1+IF($B89="inflation",$D89,IF($C89="inflation",$E89,'參數'!$C$27)))-AE89</x:f>
        <x:v>0.17999999999999994</x:v>
      </x:c>
      <x:c r="AH89" s="29" t="n">
        <x:f>1-(1-(IF($B89="gmA",$D89,IF($C89="gmA",$E89,'參數'!$C$25))+IF($B89="shock",$D89,IF($C89="shock",$E89,'參數'!$C$26))))*(1+IF($B89="inflation",$D89,IF($C89="inflation",$E89,'參數'!$C$27)))-AE89</x:f>
        <x:v>0.16000000000000003</x:v>
      </x:c>
      <x:c r="AI89" s="29" t="n">
        <x:f>IF(AB89=0,0,(Y89*AF89+Z89*AG89+AA89*AH89)/AB89)</x:f>
        <x:v>0.15599999999999997</x:v>
      </x:c>
      <x:c r="AJ89" s="28" t="n">
        <x:f>'參數'!$C$43</x:f>
        <x:v>1</x:v>
      </x:c>
      <x:c r="AK89" s="28" t="n">
        <x:f>MAX(0,(IF($B89="dso",$D89,IF($C89="dso",$E89,'參數'!$C$32))-(1-AI89)*IF($B89="dpo",$D89,IF($C89="dpo",$E89,'參數'!$C$33)))/365)</x:f>
        <x:v>0.17720547945205478</x:v>
      </x:c>
      <x:c r="AL89" s="28" t="n">
        <x:f>IF(AK89=0,AB89,(MAX(0,AJ89)+IF($B89="credit",$D89,IF($C89="credit",$E89,'參數'!$C$37)))/AK89)</x:f>
        <x:v>22.57266542980829</x:v>
      </x:c>
      <x:c r="AM89" s="28" t="n">
        <x:f>MIN(AB89,AC89,AL89)</x:f>
        <x:v>10</x:v>
      </x:c>
      <x:c r="AN89" s="28" t="n">
        <x:f>IF(AB89=0,0,AM89*Y89/AB89)</x:f>
        <x:v>4</x:v>
      </x:c>
      <x:c r="AO89" s="28" t="n">
        <x:f>IF(AB89=0,0,AM89*Z89/AB89)</x:f>
        <x:v>6</x:v>
      </x:c>
      <x:c r="AP89" s="28" t="n">
        <x:f>IF(AB89=0,0,AM89*AA89/AB89)</x:f>
        <x:v>0</x:v>
      </x:c>
      <x:c r="AQ89" s="28" t="n">
        <x:f>V89+L89-AN89</x:f>
        <x:v>0</x:v>
      </x:c>
      <x:c r="AR89" s="28" t="n">
        <x:f>W89+M89-AO89</x:f>
        <x:v>0</x:v>
      </x:c>
      <x:c r="AS89" s="28" t="n">
        <x:f>X89+N89-AP89</x:f>
        <x:v>10</x:v>
      </x:c>
      <x:c r="AT89" s="28" t="n">
        <x:f>AQ89+AR89+AS89</x:f>
        <x:v>10</x:v>
      </x:c>
      <x:c r="AU89" s="28" t="n">
        <x:f>AN89*(1-AF89)+AO89*(1-AG89)+AP89*(1-AH89)</x:f>
        <x:v>8.44</x:v>
      </x:c>
      <x:c r="AV89" s="28" t="n">
        <x:f>AM89-AU89</x:f>
        <x:v>1.5600000000000005</x:v>
      </x:c>
      <x:c r="AW89" s="29" t="n">
        <x:f>IF(AM89=0,0,AV89/AM89)</x:f>
        <x:v>0.15600000000000006</x:v>
      </x:c>
      <x:c r="AX89" s="28" t="n">
        <x:f>IF($B89="head",$D89,IF($C89="head",$E89,'參數'!$C$29))*IF($B89="wage",$D89,IF($C89="wage",$E89,'參數'!$C$30))</x:f>
        <x:v>0.22</x:v>
      </x:c>
      <x:c r="AY89" s="28" t="n">
        <x:f>IF($B89="opex",$D89,IF($C89="opex",$E89,'參數'!$C$31))</x:f>
        <x:v>0.23</x:v>
      </x:c>
      <x:c r="AZ89" s="28" t="n">
        <x:f>AX89+AY89</x:f>
        <x:v>0.45</x:v>
      </x:c>
      <x:c r="BA89" s="28" t="n">
        <x:f>AV89-AZ89</x:f>
        <x:v>1.1100000000000005</x:v>
      </x:c>
      <x:c r="BB89" s="28" t="n">
        <x:f>AM89*AK89</x:f>
        <x:v>1.7720547945205478</x:v>
      </x:c>
      <x:c r="BC89" s="28" t="n">
        <x:f>0</x:f>
        <x:v>0</x:v>
      </x:c>
      <x:c r="BD89" s="28" t="n">
        <x:f>MAX(0,BB89-MAX(0,AJ89))</x:f>
        <x:v>0.7720547945205478</x:v>
      </x:c>
      <x:c r="BE89" s="28" t="n">
        <x:f>(BC89+BD89)/2</x:f>
        <x:v>0.3860273972602739</x:v>
      </x:c>
      <x:c r="BF89" s="28" t="n">
        <x:f>BE89*IF($B89="rate",$D89,IF($C89="rate",$E89,'參數'!$C$34))</x:f>
        <x:v>0.015441095890410957</x:v>
      </x:c>
      <x:c r="BG89" s="28" t="n">
        <x:f>IF($B89="nonop",$D89,IF($C89="nonop",$E89,'參數'!$C$36))</x:f>
        <x:v>0.02</x:v>
      </x:c>
      <x:c r="BH89" s="28" t="n">
        <x:f>BA89+BG89-BF89</x:f>
        <x:v>1.1145589041095896</x:v>
      </x:c>
      <x:c r="BI89" s="28" t="n">
        <x:f>MAX(0,BH89)*IF($B89="tax",$D89,IF($C89="tax",$E89,'參數'!$C$35))</x:f>
        <x:v>0.22291178082191793</x:v>
      </x:c>
      <x:c r="BJ89" s="28" t="n">
        <x:f>BH89-BI89</x:f>
        <x:v>0.8916471232876717</x:v>
      </x:c>
      <x:c r="BK89" s="29" t="n">
        <x:f>IF(AM89=0,0,BJ89/AM89)</x:f>
        <x:v>0.08916471232876717</x:v>
      </x:c>
      <x:c r="BL89" s="28" t="n">
        <x:f>IF(BJ89&gt;=0,BJ89*IF($B89="retain",$D89,IF($C89="retain",$E89,'參數'!$C$38)),BJ89)</x:f>
        <x:v>0.44582356164383585</x:v>
      </x:c>
      <x:c r="BM89" s="28" t="n">
        <x:f>AJ89+BL89</x:f>
        <x:v>1.4458235616438357</x:v>
      </x:c>
      <x:c r="BN89" s="28" t="n">
        <x:f>MAX(0,AB89-AC89)</x:f>
        <x:v>0</x:v>
      </x:c>
      <x:c r="BO89" s="28" t="n">
        <x:f>MAX(0,MIN(AB89,AC89)-AM89)</x:f>
        <x:v>0</x:v>
      </x:c>
    </x:row>
    <x:row r="90" ht="24" customHeight="1">
      <x:c r="A90" s="2" t="str">
        <x:v>應付帳款天數高端</x:v>
      </x:c>
      <x:c r="B90" s="2" t="str">
        <x:v>dpo</x:v>
      </x:c>
      <x:c r="C90" s="2" t="str"/>
      <x:c r="D90" s="11" t="n">
        <x:f>D20</x:f>
        <x:v>90</x:v>
      </x:c>
      <x:c r="E90" s="11" t="n">
        <x:f>0</x:f>
        <x:v>0</x:v>
      </x:c>
      <x:c r="F90" s="11" t="n">
        <x:f>'參數'!$C$47</x:f>
        <x:v>0</x:v>
      </x:c>
      <x:c r="G90" s="11" t="n">
        <x:f>'參數'!$C$48</x:f>
        <x:v>0</x:v>
      </x:c>
      <x:c r="H90" s="11" t="n">
        <x:f>'參數'!$C$49</x:f>
        <x:v>0</x:v>
      </x:c>
      <x:c r="I90" s="11" t="n">
        <x:f>F90+IF($B90="pE",$D90,IF($C90="pE",$E90,'參數'!$C$5))*IF($B90="scale",$D90,IF($C90="scale",$E90,'參數'!$C$8))</x:f>
        <x:v>10</x:v>
      </x:c>
      <x:c r="J90" s="11" t="n">
        <x:f>G90+IF($B90="pM",$D90,IF($C90="pM",$E90,'參數'!$C$6))*IF($B90="scale",$D90,IF($C90="scale",$E90,'參數'!$C$8))</x:f>
        <x:v>15</x:v>
      </x:c>
      <x:c r="K90" s="11" t="n">
        <x:f>H90+IF($B90="pA",$D90,IF($C90="pA",$E90,'參數'!$C$7))*IF($B90="scale",$D90,IF($C90="scale",$E90,'參數'!$C$8))</x:f>
        <x:v>50</x:v>
      </x:c>
      <x:c r="L90" s="11" t="n">
        <x:f>I90*IF($B90="winE",$D90,IF($C90="winE",$E90,'參數'!$C$9))</x:f>
        <x:v>4</x:v>
      </x:c>
      <x:c r="M90" s="28" t="n">
        <x:f>J90*IF($B90="winM",$D90,IF($C90="winM",$E90,'參數'!$C$10))</x:f>
        <x:v>6</x:v>
      </x:c>
      <x:c r="N90" s="28" t="n">
        <x:f>MIN(K90,IF($B90="readyA",$D90,IF($C90="readyA",$E90,'參數'!$C$11))*IF($B90="gateA",$D90,IF($C90="gateA",$E90,'參數'!$C$12)))</x:f>
        <x:v>10</x:v>
      </x:c>
      <x:c r="O90" s="28" t="n">
        <x:f>L90+M90+N90</x:f>
        <x:v>20</x:v>
      </x:c>
      <x:c r="P90" s="28" t="n">
        <x:f>(I90-L90)*IF($B90="attrition",$D90,IF($C90="attrition",$E90,'參數'!$C$13))</x:f>
        <x:v>1.2000000000000002</x:v>
      </x:c>
      <x:c r="Q90" s="28" t="n">
        <x:f>(J90-M90)*IF($B90="attrition",$D90,IF($C90="attrition",$E90,'參數'!$C$13))</x:f>
        <x:v>1.8</x:v>
      </x:c>
      <x:c r="R90" s="28" t="n">
        <x:f>(K90-N90)*IF($B90="attrition",$D90,IF($C90="attrition",$E90,'參數'!$C$13))</x:f>
        <x:v>8</x:v>
      </x:c>
      <x:c r="S90" s="28" t="n">
        <x:f>I90-L90-P90</x:f>
        <x:v>4.8</x:v>
      </x:c>
      <x:c r="T90" s="28" t="n">
        <x:f>J90-M90-Q90</x:f>
        <x:v>7.2</x:v>
      </x:c>
      <x:c r="U90" s="28" t="n">
        <x:f>K90-N90-R90</x:f>
        <x:v>32</x:v>
      </x:c>
      <x:c r="V90" s="28" t="n">
        <x:f>'參數'!$C$44</x:f>
        <x:v>0</x:v>
      </x:c>
      <x:c r="W90" s="28" t="n">
        <x:f>'參數'!$C$45</x:f>
        <x:v>0</x:v>
      </x:c>
      <x:c r="X90" s="28" t="n">
        <x:f>'參數'!$C$46</x:f>
        <x:v>0</x:v>
      </x:c>
      <x:c r="Y90" s="28" t="n">
        <x:f>V90*IF($B90="relE",$D90,IF($C90="relE",$E90,'參數'!$C$17))+L90*IF($B90="nowE",$D90,IF($C90="nowE",$E90,'參數'!$C$14))</x:f>
        <x:v>4</x:v>
      </x:c>
      <x:c r="Z90" s="28" t="n">
        <x:f>W90*IF($B90="relM",$D90,IF($C90="relM",$E90,'參數'!$C$18))+M90*IF($B90="nowM",$D90,IF($C90="nowM",$E90,'參數'!$C$15))</x:f>
        <x:v>6</x:v>
      </x:c>
      <x:c r="AA90" s="28" t="n">
        <x:f>X90*IF($B90="relA",$D90,IF($C90="relA",$E90,'參數'!$C$19))+N90*IF($B90="nowA",$D90,IF($C90="nowA",$E90,'參數'!$C$16))</x:f>
        <x:v>0</x:v>
      </x:c>
      <x:c r="AB90" s="28" t="n">
        <x:f>Y90+Z90+AA90</x:f>
        <x:v>10</x:v>
      </x:c>
      <x:c r="AC90" s="28" t="n">
        <x:f>IF($B90="capacity",$D90,IF($C90="capacity",$E90,'參數'!$C$20))</x:f>
        <x:v>10</x:v>
      </x:c>
      <x:c r="AD90" s="28" t="n">
        <x:f>IF(AC90=0,0,AB90/AC90)</x:f>
        <x:v>1</x:v>
      </x:c>
      <x:c r="AE90" s="29" t="n">
        <x:f>MAX(0,AD90-1)*IF($B90="congestion",$D90,IF($C90="congestion",$E90,'參數'!$C$28))</x:f>
        <x:v>0</x:v>
      </x:c>
      <x:c r="AF90" s="29" t="n">
        <x:f>1-(1-(IF($B90="gmE",$D90,IF($C90="gmE",$E90,'參數'!$C$21))+IF($B90="shock",$D90,IF($C90="shock",$E90,'參數'!$C$26))))*(1+IF($B90="inflation",$D90,IF($C90="inflation",$E90,'參數'!$C$27)))-AE90</x:f>
        <x:v>0.12</x:v>
      </x:c>
      <x:c r="AG90" s="29" t="n">
        <x:f>1-(1-(IF($B90="gmM",$D90,IF($C90="gmM",$E90,'參數'!$C$22))+IF($B90="dev",$D90,IF($C90="dev",$E90,'參數'!$C$23))*IF($B90="devReal",$D90,IF($C90="devReal",$E90,'參數'!$C$24))+IF($B90="shock",$D90,IF($C90="shock",$E90,'參數'!$C$26))))*(1+IF($B90="inflation",$D90,IF($C90="inflation",$E90,'參數'!$C$27)))-AE90</x:f>
        <x:v>0.17999999999999994</x:v>
      </x:c>
      <x:c r="AH90" s="29" t="n">
        <x:f>1-(1-(IF($B90="gmA",$D90,IF($C90="gmA",$E90,'參數'!$C$25))+IF($B90="shock",$D90,IF($C90="shock",$E90,'參數'!$C$26))))*(1+IF($B90="inflation",$D90,IF($C90="inflation",$E90,'參數'!$C$27)))-AE90</x:f>
        <x:v>0.16000000000000003</x:v>
      </x:c>
      <x:c r="AI90" s="29" t="n">
        <x:f>IF(AB90=0,0,(Y90*AF90+Z90*AG90+AA90*AH90)/AB90)</x:f>
        <x:v>0.15599999999999997</x:v>
      </x:c>
      <x:c r="AJ90" s="28" t="n">
        <x:f>'參數'!$C$43</x:f>
        <x:v>1</x:v>
      </x:c>
      <x:c r="AK90" s="28" t="n">
        <x:f>MAX(0,(IF($B90="dso",$D90,IF($C90="dso",$E90,'參數'!$C$32))-(1-AI90)*IF($B90="dpo",$D90,IF($C90="dpo",$E90,'參數'!$C$33)))/365)</x:f>
        <x:v>0.038465753424657516</x:v>
      </x:c>
      <x:c r="AL90" s="28" t="n">
        <x:f>IF(AK90=0,AB90,(MAX(0,AJ90)+IF($B90="credit",$D90,IF($C90="credit",$E90,'參數'!$C$37)))/AK90)</x:f>
        <x:v>103.98860398860404</x:v>
      </x:c>
      <x:c r="AM90" s="28" t="n">
        <x:f>MIN(AB90,AC90,AL90)</x:f>
        <x:v>10</x:v>
      </x:c>
      <x:c r="AN90" s="28" t="n">
        <x:f>IF(AB90=0,0,AM90*Y90/AB90)</x:f>
        <x:v>4</x:v>
      </x:c>
      <x:c r="AO90" s="28" t="n">
        <x:f>IF(AB90=0,0,AM90*Z90/AB90)</x:f>
        <x:v>6</x:v>
      </x:c>
      <x:c r="AP90" s="28" t="n">
        <x:f>IF(AB90=0,0,AM90*AA90/AB90)</x:f>
        <x:v>0</x:v>
      </x:c>
      <x:c r="AQ90" s="28" t="n">
        <x:f>V90+L90-AN90</x:f>
        <x:v>0</x:v>
      </x:c>
      <x:c r="AR90" s="28" t="n">
        <x:f>W90+M90-AO90</x:f>
        <x:v>0</x:v>
      </x:c>
      <x:c r="AS90" s="28" t="n">
        <x:f>X90+N90-AP90</x:f>
        <x:v>10</x:v>
      </x:c>
      <x:c r="AT90" s="28" t="n">
        <x:f>AQ90+AR90+AS90</x:f>
        <x:v>10</x:v>
      </x:c>
      <x:c r="AU90" s="28" t="n">
        <x:f>AN90*(1-AF90)+AO90*(1-AG90)+AP90*(1-AH90)</x:f>
        <x:v>8.44</x:v>
      </x:c>
      <x:c r="AV90" s="28" t="n">
        <x:f>AM90-AU90</x:f>
        <x:v>1.5600000000000005</x:v>
      </x:c>
      <x:c r="AW90" s="29" t="n">
        <x:f>IF(AM90=0,0,AV90/AM90)</x:f>
        <x:v>0.15600000000000006</x:v>
      </x:c>
      <x:c r="AX90" s="28" t="n">
        <x:f>IF($B90="head",$D90,IF($C90="head",$E90,'參數'!$C$29))*IF($B90="wage",$D90,IF($C90="wage",$E90,'參數'!$C$30))</x:f>
        <x:v>0.22</x:v>
      </x:c>
      <x:c r="AY90" s="28" t="n">
        <x:f>IF($B90="opex",$D90,IF($C90="opex",$E90,'參數'!$C$31))</x:f>
        <x:v>0.23</x:v>
      </x:c>
      <x:c r="AZ90" s="28" t="n">
        <x:f>AX90+AY90</x:f>
        <x:v>0.45</x:v>
      </x:c>
      <x:c r="BA90" s="28" t="n">
        <x:f>AV90-AZ90</x:f>
        <x:v>1.1100000000000005</x:v>
      </x:c>
      <x:c r="BB90" s="28" t="n">
        <x:f>AM90*AK90</x:f>
        <x:v>0.3846575342465752</x:v>
      </x:c>
      <x:c r="BC90" s="28" t="n">
        <x:f>0</x:f>
        <x:v>0</x:v>
      </x:c>
      <x:c r="BD90" s="28" t="n">
        <x:f>MAX(0,BB90-MAX(0,AJ90))</x:f>
        <x:v>0</x:v>
      </x:c>
      <x:c r="BE90" s="28" t="n">
        <x:f>(BC90+BD90)/2</x:f>
        <x:v>0</x:v>
      </x:c>
      <x:c r="BF90" s="28" t="n">
        <x:f>BE90*IF($B90="rate",$D90,IF($C90="rate",$E90,'參數'!$C$34))</x:f>
        <x:v>0</x:v>
      </x:c>
      <x:c r="BG90" s="28" t="n">
        <x:f>IF($B90="nonop",$D90,IF($C90="nonop",$E90,'參數'!$C$36))</x:f>
        <x:v>0.02</x:v>
      </x:c>
      <x:c r="BH90" s="28" t="n">
        <x:f>BA90+BG90-BF90</x:f>
        <x:v>1.1300000000000006</x:v>
      </x:c>
      <x:c r="BI90" s="28" t="n">
        <x:f>MAX(0,BH90)*IF($B90="tax",$D90,IF($C90="tax",$E90,'參數'!$C$35))</x:f>
        <x:v>0.22600000000000012</x:v>
      </x:c>
      <x:c r="BJ90" s="28" t="n">
        <x:f>BH90-BI90</x:f>
        <x:v>0.9040000000000005</x:v>
      </x:c>
      <x:c r="BK90" s="29" t="n">
        <x:f>IF(AM90=0,0,BJ90/AM90)</x:f>
        <x:v>0.09040000000000005</x:v>
      </x:c>
      <x:c r="BL90" s="28" t="n">
        <x:f>IF(BJ90&gt;=0,BJ90*IF($B90="retain",$D90,IF($C90="retain",$E90,'參數'!$C$38)),BJ90)</x:f>
        <x:v>0.45200000000000023</x:v>
      </x:c>
      <x:c r="BM90" s="28" t="n">
        <x:f>AJ90+BL90</x:f>
        <x:v>1.4520000000000002</x:v>
      </x:c>
      <x:c r="BN90" s="28" t="n">
        <x:f>MAX(0,AB90-AC90)</x:f>
        <x:v>0</x:v>
      </x:c>
      <x:c r="BO90" s="28" t="n">
        <x:f>MAX(0,MIN(AB90,AC90)-AM90)</x:f>
        <x:v>0</x:v>
      </x:c>
    </x:row>
    <x:row r="91" ht="24" customHeight="1">
      <x:c r="A91" s="2" t="str">
        <x:v>借款年利率低端</x:v>
      </x:c>
      <x:c r="B91" s="2" t="str">
        <x:v>rate</x:v>
      </x:c>
      <x:c r="C91" s="2" t="str"/>
      <x:c r="D91" s="11" t="n">
        <x:f>C21</x:f>
        <x:v>0.02</x:v>
      </x:c>
      <x:c r="E91" s="11" t="n">
        <x:f>0</x:f>
        <x:v>0</x:v>
      </x:c>
      <x:c r="F91" s="11" t="n">
        <x:f>'參數'!$C$47</x:f>
        <x:v>0</x:v>
      </x:c>
      <x:c r="G91" s="11" t="n">
        <x:f>'參數'!$C$48</x:f>
        <x:v>0</x:v>
      </x:c>
      <x:c r="H91" s="11" t="n">
        <x:f>'參數'!$C$49</x:f>
        <x:v>0</x:v>
      </x:c>
      <x:c r="I91" s="11" t="n">
        <x:f>F91+IF($B91="pE",$D91,IF($C91="pE",$E91,'參數'!$C$5))*IF($B91="scale",$D91,IF($C91="scale",$E91,'參數'!$C$8))</x:f>
        <x:v>10</x:v>
      </x:c>
      <x:c r="J91" s="11" t="n">
        <x:f>G91+IF($B91="pM",$D91,IF($C91="pM",$E91,'參數'!$C$6))*IF($B91="scale",$D91,IF($C91="scale",$E91,'參數'!$C$8))</x:f>
        <x:v>15</x:v>
      </x:c>
      <x:c r="K91" s="11" t="n">
        <x:f>H91+IF($B91="pA",$D91,IF($C91="pA",$E91,'參數'!$C$7))*IF($B91="scale",$D91,IF($C91="scale",$E91,'參數'!$C$8))</x:f>
        <x:v>50</x:v>
      </x:c>
      <x:c r="L91" s="11" t="n">
        <x:f>I91*IF($B91="winE",$D91,IF($C91="winE",$E91,'參數'!$C$9))</x:f>
        <x:v>4</x:v>
      </x:c>
      <x:c r="M91" s="28" t="n">
        <x:f>J91*IF($B91="winM",$D91,IF($C91="winM",$E91,'參數'!$C$10))</x:f>
        <x:v>6</x:v>
      </x:c>
      <x:c r="N91" s="28" t="n">
        <x:f>MIN(K91,IF($B91="readyA",$D91,IF($C91="readyA",$E91,'參數'!$C$11))*IF($B91="gateA",$D91,IF($C91="gateA",$E91,'參數'!$C$12)))</x:f>
        <x:v>10</x:v>
      </x:c>
      <x:c r="O91" s="28" t="n">
        <x:f>L91+M91+N91</x:f>
        <x:v>20</x:v>
      </x:c>
      <x:c r="P91" s="28" t="n">
        <x:f>(I91-L91)*IF($B91="attrition",$D91,IF($C91="attrition",$E91,'參數'!$C$13))</x:f>
        <x:v>1.2000000000000002</x:v>
      </x:c>
      <x:c r="Q91" s="28" t="n">
        <x:f>(J91-M91)*IF($B91="attrition",$D91,IF($C91="attrition",$E91,'參數'!$C$13))</x:f>
        <x:v>1.8</x:v>
      </x:c>
      <x:c r="R91" s="28" t="n">
        <x:f>(K91-N91)*IF($B91="attrition",$D91,IF($C91="attrition",$E91,'參數'!$C$13))</x:f>
        <x:v>8</x:v>
      </x:c>
      <x:c r="S91" s="28" t="n">
        <x:f>I91-L91-P91</x:f>
        <x:v>4.8</x:v>
      </x:c>
      <x:c r="T91" s="28" t="n">
        <x:f>J91-M91-Q91</x:f>
        <x:v>7.2</x:v>
      </x:c>
      <x:c r="U91" s="28" t="n">
        <x:f>K91-N91-R91</x:f>
        <x:v>32</x:v>
      </x:c>
      <x:c r="V91" s="28" t="n">
        <x:f>'參數'!$C$44</x:f>
        <x:v>0</x:v>
      </x:c>
      <x:c r="W91" s="28" t="n">
        <x:f>'參數'!$C$45</x:f>
        <x:v>0</x:v>
      </x:c>
      <x:c r="X91" s="28" t="n">
        <x:f>'參數'!$C$46</x:f>
        <x:v>0</x:v>
      </x:c>
      <x:c r="Y91" s="28" t="n">
        <x:f>V91*IF($B91="relE",$D91,IF($C91="relE",$E91,'參數'!$C$17))+L91*IF($B91="nowE",$D91,IF($C91="nowE",$E91,'參數'!$C$14))</x:f>
        <x:v>4</x:v>
      </x:c>
      <x:c r="Z91" s="28" t="n">
        <x:f>W91*IF($B91="relM",$D91,IF($C91="relM",$E91,'參數'!$C$18))+M91*IF($B91="nowM",$D91,IF($C91="nowM",$E91,'參數'!$C$15))</x:f>
        <x:v>6</x:v>
      </x:c>
      <x:c r="AA91" s="28" t="n">
        <x:f>X91*IF($B91="relA",$D91,IF($C91="relA",$E91,'參數'!$C$19))+N91*IF($B91="nowA",$D91,IF($C91="nowA",$E91,'參數'!$C$16))</x:f>
        <x:v>0</x:v>
      </x:c>
      <x:c r="AB91" s="28" t="n">
        <x:f>Y91+Z91+AA91</x:f>
        <x:v>10</x:v>
      </x:c>
      <x:c r="AC91" s="28" t="n">
        <x:f>IF($B91="capacity",$D91,IF($C91="capacity",$E91,'參數'!$C$20))</x:f>
        <x:v>10</x:v>
      </x:c>
      <x:c r="AD91" s="28" t="n">
        <x:f>IF(AC91=0,0,AB91/AC91)</x:f>
        <x:v>1</x:v>
      </x:c>
      <x:c r="AE91" s="29" t="n">
        <x:f>MAX(0,AD91-1)*IF($B91="congestion",$D91,IF($C91="congestion",$E91,'參數'!$C$28))</x:f>
        <x:v>0</x:v>
      </x:c>
      <x:c r="AF91" s="29" t="n">
        <x:f>1-(1-(IF($B91="gmE",$D91,IF($C91="gmE",$E91,'參數'!$C$21))+IF($B91="shock",$D91,IF($C91="shock",$E91,'參數'!$C$26))))*(1+IF($B91="inflation",$D91,IF($C91="inflation",$E91,'參數'!$C$27)))-AE91</x:f>
        <x:v>0.12</x:v>
      </x:c>
      <x:c r="AG91" s="29" t="n">
        <x:f>1-(1-(IF($B91="gmM",$D91,IF($C91="gmM",$E91,'參數'!$C$22))+IF($B91="dev",$D91,IF($C91="dev",$E91,'參數'!$C$23))*IF($B91="devReal",$D91,IF($C91="devReal",$E91,'參數'!$C$24))+IF($B91="shock",$D91,IF($C91="shock",$E91,'參數'!$C$26))))*(1+IF($B91="inflation",$D91,IF($C91="inflation",$E91,'參數'!$C$27)))-AE91</x:f>
        <x:v>0.17999999999999994</x:v>
      </x:c>
      <x:c r="AH91" s="29" t="n">
        <x:f>1-(1-(IF($B91="gmA",$D91,IF($C91="gmA",$E91,'參數'!$C$25))+IF($B91="shock",$D91,IF($C91="shock",$E91,'參數'!$C$26))))*(1+IF($B91="inflation",$D91,IF($C91="inflation",$E91,'參數'!$C$27)))-AE91</x:f>
        <x:v>0.16000000000000003</x:v>
      </x:c>
      <x:c r="AI91" s="29" t="n">
        <x:f>IF(AB91=0,0,(Y91*AF91+Z91*AG91+AA91*AH91)/AB91)</x:f>
        <x:v>0.15599999999999997</x:v>
      </x:c>
      <x:c r="AJ91" s="28" t="n">
        <x:f>'參數'!$C$43</x:f>
        <x:v>1</x:v>
      </x:c>
      <x:c r="AK91" s="28" t="n">
        <x:f>MAX(0,(IF($B91="dso",$D91,IF($C91="dso",$E91,'參數'!$C$32))-(1-AI91)*IF($B91="dpo",$D91,IF($C91="dpo",$E91,'參數'!$C$33)))/365)</x:f>
        <x:v>0.10783561643835614</x:v>
      </x:c>
      <x:c r="AL91" s="28" t="n">
        <x:f>IF(AK91=0,AB91,(MAX(0,AJ91)+IF($B91="credit",$D91,IF($C91="credit",$E91,'參數'!$C$37)))/AK91)</x:f>
        <x:v>37.09349593495936</x:v>
      </x:c>
      <x:c r="AM91" s="28" t="n">
        <x:f>MIN(AB91,AC91,AL91)</x:f>
        <x:v>10</x:v>
      </x:c>
      <x:c r="AN91" s="28" t="n">
        <x:f>IF(AB91=0,0,AM91*Y91/AB91)</x:f>
        <x:v>4</x:v>
      </x:c>
      <x:c r="AO91" s="28" t="n">
        <x:f>IF(AB91=0,0,AM91*Z91/AB91)</x:f>
        <x:v>6</x:v>
      </x:c>
      <x:c r="AP91" s="28" t="n">
        <x:f>IF(AB91=0,0,AM91*AA91/AB91)</x:f>
        <x:v>0</x:v>
      </x:c>
      <x:c r="AQ91" s="28" t="n">
        <x:f>V91+L91-AN91</x:f>
        <x:v>0</x:v>
      </x:c>
      <x:c r="AR91" s="28" t="n">
        <x:f>W91+M91-AO91</x:f>
        <x:v>0</x:v>
      </x:c>
      <x:c r="AS91" s="28" t="n">
        <x:f>X91+N91-AP91</x:f>
        <x:v>10</x:v>
      </x:c>
      <x:c r="AT91" s="28" t="n">
        <x:f>AQ91+AR91+AS91</x:f>
        <x:v>10</x:v>
      </x:c>
      <x:c r="AU91" s="28" t="n">
        <x:f>AN91*(1-AF91)+AO91*(1-AG91)+AP91*(1-AH91)</x:f>
        <x:v>8.44</x:v>
      </x:c>
      <x:c r="AV91" s="28" t="n">
        <x:f>AM91-AU91</x:f>
        <x:v>1.5600000000000005</x:v>
      </x:c>
      <x:c r="AW91" s="29" t="n">
        <x:f>IF(AM91=0,0,AV91/AM91)</x:f>
        <x:v>0.15600000000000006</x:v>
      </x:c>
      <x:c r="AX91" s="28" t="n">
        <x:f>IF($B91="head",$D91,IF($C91="head",$E91,'參數'!$C$29))*IF($B91="wage",$D91,IF($C91="wage",$E91,'參數'!$C$30))</x:f>
        <x:v>0.22</x:v>
      </x:c>
      <x:c r="AY91" s="28" t="n">
        <x:f>IF($B91="opex",$D91,IF($C91="opex",$E91,'參數'!$C$31))</x:f>
        <x:v>0.23</x:v>
      </x:c>
      <x:c r="AZ91" s="28" t="n">
        <x:f>AX91+AY91</x:f>
        <x:v>0.45</x:v>
      </x:c>
      <x:c r="BA91" s="28" t="n">
        <x:f>AV91-AZ91</x:f>
        <x:v>1.1100000000000005</x:v>
      </x:c>
      <x:c r="BB91" s="28" t="n">
        <x:f>AM91*AK91</x:f>
        <x:v>1.0783561643835613</x:v>
      </x:c>
      <x:c r="BC91" s="28" t="n">
        <x:f>0</x:f>
        <x:v>0</x:v>
      </x:c>
      <x:c r="BD91" s="28" t="n">
        <x:f>MAX(0,BB91-MAX(0,AJ91))</x:f>
        <x:v>0.0783561643835613</x:v>
      </x:c>
      <x:c r="BE91" s="28" t="n">
        <x:f>(BC91+BD91)/2</x:f>
        <x:v>0.03917808219178065</x:v>
      </x:c>
      <x:c r="BF91" s="28" t="n">
        <x:f>BE91*IF($B91="rate",$D91,IF($C91="rate",$E91,'參數'!$C$34))</x:f>
        <x:v>0.000783561643835613</x:v>
      </x:c>
      <x:c r="BG91" s="28" t="n">
        <x:f>IF($B91="nonop",$D91,IF($C91="nonop",$E91,'參數'!$C$36))</x:f>
        <x:v>0.02</x:v>
      </x:c>
      <x:c r="BH91" s="28" t="n">
        <x:f>BA91+BG91-BF91</x:f>
        <x:v>1.129216438356165</x:v>
      </x:c>
      <x:c r="BI91" s="28" t="n">
        <x:f>MAX(0,BH91)*IF($B91="tax",$D91,IF($C91="tax",$E91,'參數'!$C$35))</x:f>
        <x:v>0.225843287671233</x:v>
      </x:c>
      <x:c r="BJ91" s="28" t="n">
        <x:f>BH91-BI91</x:f>
        <x:v>0.903373150684932</x:v>
      </x:c>
      <x:c r="BK91" s="29" t="n">
        <x:f>IF(AM91=0,0,BJ91/AM91)</x:f>
        <x:v>0.0903373150684932</x:v>
      </x:c>
      <x:c r="BL91" s="28" t="n">
        <x:f>IF(BJ91&gt;=0,BJ91*IF($B91="retain",$D91,IF($C91="retain",$E91,'參數'!$C$38)),BJ91)</x:f>
        <x:v>0.451686575342466</x:v>
      </x:c>
      <x:c r="BM91" s="28" t="n">
        <x:f>AJ91+BL91</x:f>
        <x:v>1.451686575342466</x:v>
      </x:c>
      <x:c r="BN91" s="28" t="n">
        <x:f>MAX(0,AB91-AC91)</x:f>
        <x:v>0</x:v>
      </x:c>
      <x:c r="BO91" s="28" t="n">
        <x:f>MAX(0,MIN(AB91,AC91)-AM91)</x:f>
        <x:v>0</x:v>
      </x:c>
    </x:row>
    <x:row r="92" ht="24" customHeight="1">
      <x:c r="A92" s="2" t="str">
        <x:v>借款年利率高端</x:v>
      </x:c>
      <x:c r="B92" s="2" t="str">
        <x:v>rate</x:v>
      </x:c>
      <x:c r="C92" s="2" t="str"/>
      <x:c r="D92" s="11" t="n">
        <x:f>D21</x:f>
        <x:v>0.06</x:v>
      </x:c>
      <x:c r="E92" s="11" t="n">
        <x:f>0</x:f>
        <x:v>0</x:v>
      </x:c>
      <x:c r="F92" s="11" t="n">
        <x:f>'參數'!$C$47</x:f>
        <x:v>0</x:v>
      </x:c>
      <x:c r="G92" s="11" t="n">
        <x:f>'參數'!$C$48</x:f>
        <x:v>0</x:v>
      </x:c>
      <x:c r="H92" s="11" t="n">
        <x:f>'參數'!$C$49</x:f>
        <x:v>0</x:v>
      </x:c>
      <x:c r="I92" s="11" t="n">
        <x:f>F92+IF($B92="pE",$D92,IF($C92="pE",$E92,'參數'!$C$5))*IF($B92="scale",$D92,IF($C92="scale",$E92,'參數'!$C$8))</x:f>
        <x:v>10</x:v>
      </x:c>
      <x:c r="J92" s="11" t="n">
        <x:f>G92+IF($B92="pM",$D92,IF($C92="pM",$E92,'參數'!$C$6))*IF($B92="scale",$D92,IF($C92="scale",$E92,'參數'!$C$8))</x:f>
        <x:v>15</x:v>
      </x:c>
      <x:c r="K92" s="11" t="n">
        <x:f>H92+IF($B92="pA",$D92,IF($C92="pA",$E92,'參數'!$C$7))*IF($B92="scale",$D92,IF($C92="scale",$E92,'參數'!$C$8))</x:f>
        <x:v>50</x:v>
      </x:c>
      <x:c r="L92" s="11" t="n">
        <x:f>I92*IF($B92="winE",$D92,IF($C92="winE",$E92,'參數'!$C$9))</x:f>
        <x:v>4</x:v>
      </x:c>
      <x:c r="M92" s="28" t="n">
        <x:f>J92*IF($B92="winM",$D92,IF($C92="winM",$E92,'參數'!$C$10))</x:f>
        <x:v>6</x:v>
      </x:c>
      <x:c r="N92" s="28" t="n">
        <x:f>MIN(K92,IF($B92="readyA",$D92,IF($C92="readyA",$E92,'參數'!$C$11))*IF($B92="gateA",$D92,IF($C92="gateA",$E92,'參數'!$C$12)))</x:f>
        <x:v>10</x:v>
      </x:c>
      <x:c r="O92" s="28" t="n">
        <x:f>L92+M92+N92</x:f>
        <x:v>20</x:v>
      </x:c>
      <x:c r="P92" s="28" t="n">
        <x:f>(I92-L92)*IF($B92="attrition",$D92,IF($C92="attrition",$E92,'參數'!$C$13))</x:f>
        <x:v>1.2000000000000002</x:v>
      </x:c>
      <x:c r="Q92" s="28" t="n">
        <x:f>(J92-M92)*IF($B92="attrition",$D92,IF($C92="attrition",$E92,'參數'!$C$13))</x:f>
        <x:v>1.8</x:v>
      </x:c>
      <x:c r="R92" s="28" t="n">
        <x:f>(K92-N92)*IF($B92="attrition",$D92,IF($C92="attrition",$E92,'參數'!$C$13))</x:f>
        <x:v>8</x:v>
      </x:c>
      <x:c r="S92" s="28" t="n">
        <x:f>I92-L92-P92</x:f>
        <x:v>4.8</x:v>
      </x:c>
      <x:c r="T92" s="28" t="n">
        <x:f>J92-M92-Q92</x:f>
        <x:v>7.2</x:v>
      </x:c>
      <x:c r="U92" s="28" t="n">
        <x:f>K92-N92-R92</x:f>
        <x:v>32</x:v>
      </x:c>
      <x:c r="V92" s="28" t="n">
        <x:f>'參數'!$C$44</x:f>
        <x:v>0</x:v>
      </x:c>
      <x:c r="W92" s="28" t="n">
        <x:f>'參數'!$C$45</x:f>
        <x:v>0</x:v>
      </x:c>
      <x:c r="X92" s="28" t="n">
        <x:f>'參數'!$C$46</x:f>
        <x:v>0</x:v>
      </x:c>
      <x:c r="Y92" s="28" t="n">
        <x:f>V92*IF($B92="relE",$D92,IF($C92="relE",$E92,'參數'!$C$17))+L92*IF($B92="nowE",$D92,IF($C92="nowE",$E92,'參數'!$C$14))</x:f>
        <x:v>4</x:v>
      </x:c>
      <x:c r="Z92" s="28" t="n">
        <x:f>W92*IF($B92="relM",$D92,IF($C92="relM",$E92,'參數'!$C$18))+M92*IF($B92="nowM",$D92,IF($C92="nowM",$E92,'參數'!$C$15))</x:f>
        <x:v>6</x:v>
      </x:c>
      <x:c r="AA92" s="28" t="n">
        <x:f>X92*IF($B92="relA",$D92,IF($C92="relA",$E92,'參數'!$C$19))+N92*IF($B92="nowA",$D92,IF($C92="nowA",$E92,'參數'!$C$16))</x:f>
        <x:v>0</x:v>
      </x:c>
      <x:c r="AB92" s="28" t="n">
        <x:f>Y92+Z92+AA92</x:f>
        <x:v>10</x:v>
      </x:c>
      <x:c r="AC92" s="28" t="n">
        <x:f>IF($B92="capacity",$D92,IF($C92="capacity",$E92,'參數'!$C$20))</x:f>
        <x:v>10</x:v>
      </x:c>
      <x:c r="AD92" s="28" t="n">
        <x:f>IF(AC92=0,0,AB92/AC92)</x:f>
        <x:v>1</x:v>
      </x:c>
      <x:c r="AE92" s="29" t="n">
        <x:f>MAX(0,AD92-1)*IF($B92="congestion",$D92,IF($C92="congestion",$E92,'參數'!$C$28))</x:f>
        <x:v>0</x:v>
      </x:c>
      <x:c r="AF92" s="29" t="n">
        <x:f>1-(1-(IF($B92="gmE",$D92,IF($C92="gmE",$E92,'參數'!$C$21))+IF($B92="shock",$D92,IF($C92="shock",$E92,'參數'!$C$26))))*(1+IF($B92="inflation",$D92,IF($C92="inflation",$E92,'參數'!$C$27)))-AE92</x:f>
        <x:v>0.12</x:v>
      </x:c>
      <x:c r="AG92" s="29" t="n">
        <x:f>1-(1-(IF($B92="gmM",$D92,IF($C92="gmM",$E92,'參數'!$C$22))+IF($B92="dev",$D92,IF($C92="dev",$E92,'參數'!$C$23))*IF($B92="devReal",$D92,IF($C92="devReal",$E92,'參數'!$C$24))+IF($B92="shock",$D92,IF($C92="shock",$E92,'參數'!$C$26))))*(1+IF($B92="inflation",$D92,IF($C92="inflation",$E92,'參數'!$C$27)))-AE92</x:f>
        <x:v>0.17999999999999994</x:v>
      </x:c>
      <x:c r="AH92" s="29" t="n">
        <x:f>1-(1-(IF($B92="gmA",$D92,IF($C92="gmA",$E92,'參數'!$C$25))+IF($B92="shock",$D92,IF($C92="shock",$E92,'參數'!$C$26))))*(1+IF($B92="inflation",$D92,IF($C92="inflation",$E92,'參數'!$C$27)))-AE92</x:f>
        <x:v>0.16000000000000003</x:v>
      </x:c>
      <x:c r="AI92" s="29" t="n">
        <x:f>IF(AB92=0,0,(Y92*AF92+Z92*AG92+AA92*AH92)/AB92)</x:f>
        <x:v>0.15599999999999997</x:v>
      </x:c>
      <x:c r="AJ92" s="28" t="n">
        <x:f>'參數'!$C$43</x:f>
        <x:v>1</x:v>
      </x:c>
      <x:c r="AK92" s="28" t="n">
        <x:f>MAX(0,(IF($B92="dso",$D92,IF($C92="dso",$E92,'參數'!$C$32))-(1-AI92)*IF($B92="dpo",$D92,IF($C92="dpo",$E92,'參數'!$C$33)))/365)</x:f>
        <x:v>0.10783561643835614</x:v>
      </x:c>
      <x:c r="AL92" s="28" t="n">
        <x:f>IF(AK92=0,AB92,(MAX(0,AJ92)+IF($B92="credit",$D92,IF($C92="credit",$E92,'參數'!$C$37)))/AK92)</x:f>
        <x:v>37.09349593495936</x:v>
      </x:c>
      <x:c r="AM92" s="28" t="n">
        <x:f>MIN(AB92,AC92,AL92)</x:f>
        <x:v>10</x:v>
      </x:c>
      <x:c r="AN92" s="28" t="n">
        <x:f>IF(AB92=0,0,AM92*Y92/AB92)</x:f>
        <x:v>4</x:v>
      </x:c>
      <x:c r="AO92" s="28" t="n">
        <x:f>IF(AB92=0,0,AM92*Z92/AB92)</x:f>
        <x:v>6</x:v>
      </x:c>
      <x:c r="AP92" s="28" t="n">
        <x:f>IF(AB92=0,0,AM92*AA92/AB92)</x:f>
        <x:v>0</x:v>
      </x:c>
      <x:c r="AQ92" s="28" t="n">
        <x:f>V92+L92-AN92</x:f>
        <x:v>0</x:v>
      </x:c>
      <x:c r="AR92" s="28" t="n">
        <x:f>W92+M92-AO92</x:f>
        <x:v>0</x:v>
      </x:c>
      <x:c r="AS92" s="28" t="n">
        <x:f>X92+N92-AP92</x:f>
        <x:v>10</x:v>
      </x:c>
      <x:c r="AT92" s="28" t="n">
        <x:f>AQ92+AR92+AS92</x:f>
        <x:v>10</x:v>
      </x:c>
      <x:c r="AU92" s="28" t="n">
        <x:f>AN92*(1-AF92)+AO92*(1-AG92)+AP92*(1-AH92)</x:f>
        <x:v>8.44</x:v>
      </x:c>
      <x:c r="AV92" s="28" t="n">
        <x:f>AM92-AU92</x:f>
        <x:v>1.5600000000000005</x:v>
      </x:c>
      <x:c r="AW92" s="29" t="n">
        <x:f>IF(AM92=0,0,AV92/AM92)</x:f>
        <x:v>0.15600000000000006</x:v>
      </x:c>
      <x:c r="AX92" s="28" t="n">
        <x:f>IF($B92="head",$D92,IF($C92="head",$E92,'參數'!$C$29))*IF($B92="wage",$D92,IF($C92="wage",$E92,'參數'!$C$30))</x:f>
        <x:v>0.22</x:v>
      </x:c>
      <x:c r="AY92" s="28" t="n">
        <x:f>IF($B92="opex",$D92,IF($C92="opex",$E92,'參數'!$C$31))</x:f>
        <x:v>0.23</x:v>
      </x:c>
      <x:c r="AZ92" s="28" t="n">
        <x:f>AX92+AY92</x:f>
        <x:v>0.45</x:v>
      </x:c>
      <x:c r="BA92" s="28" t="n">
        <x:f>AV92-AZ92</x:f>
        <x:v>1.1100000000000005</x:v>
      </x:c>
      <x:c r="BB92" s="28" t="n">
        <x:f>AM92*AK92</x:f>
        <x:v>1.0783561643835613</x:v>
      </x:c>
      <x:c r="BC92" s="28" t="n">
        <x:f>0</x:f>
        <x:v>0</x:v>
      </x:c>
      <x:c r="BD92" s="28" t="n">
        <x:f>MAX(0,BB92-MAX(0,AJ92))</x:f>
        <x:v>0.0783561643835613</x:v>
      </x:c>
      <x:c r="BE92" s="28" t="n">
        <x:f>(BC92+BD92)/2</x:f>
        <x:v>0.03917808219178065</x:v>
      </x:c>
      <x:c r="BF92" s="28" t="n">
        <x:f>BE92*IF($B92="rate",$D92,IF($C92="rate",$E92,'參數'!$C$34))</x:f>
        <x:v>0.0023506849315068387</x:v>
      </x:c>
      <x:c r="BG92" s="28" t="n">
        <x:f>IF($B92="nonop",$D92,IF($C92="nonop",$E92,'參數'!$C$36))</x:f>
        <x:v>0.02</x:v>
      </x:c>
      <x:c r="BH92" s="28" t="n">
        <x:f>BA92+BG92-BF92</x:f>
        <x:v>1.1276493150684936</x:v>
      </x:c>
      <x:c r="BI92" s="28" t="n">
        <x:f>MAX(0,BH92)*IF($B92="tax",$D92,IF($C92="tax",$E92,'參數'!$C$35))</x:f>
        <x:v>0.22552986301369873</x:v>
      </x:c>
      <x:c r="BJ92" s="28" t="n">
        <x:f>BH92-BI92</x:f>
        <x:v>0.9021194520547949</x:v>
      </x:c>
      <x:c r="BK92" s="29" t="n">
        <x:f>IF(AM92=0,0,BJ92/AM92)</x:f>
        <x:v>0.0902119452054795</x:v>
      </x:c>
      <x:c r="BL92" s="28" t="n">
        <x:f>IF(BJ92&gt;=0,BJ92*IF($B92="retain",$D92,IF($C92="retain",$E92,'參數'!$C$38)),BJ92)</x:f>
        <x:v>0.45105972602739747</x:v>
      </x:c>
      <x:c r="BM92" s="28" t="n">
        <x:f>AJ92+BL92</x:f>
        <x:v>1.4510597260273974</x:v>
      </x:c>
      <x:c r="BN92" s="28" t="n">
        <x:f>MAX(0,AB92-AC92)</x:f>
        <x:v>0</x:v>
      </x:c>
      <x:c r="BO92" s="28" t="n">
        <x:f>MAX(0,MIN(AB92,AC92)-AM92)</x:f>
        <x:v>0</x:v>
      </x:c>
    </x:row>
    <x:row r="93" ht="24" customHeight="1">
      <x:c r="A93" s="2" t="str">
        <x:v>可用短期借款上限低端</x:v>
      </x:c>
      <x:c r="B93" s="2" t="str">
        <x:v>credit</x:v>
      </x:c>
      <x:c r="C93" s="2" t="str"/>
      <x:c r="D93" s="11" t="n">
        <x:f>C22</x:f>
        <x:v>0</x:v>
      </x:c>
      <x:c r="E93" s="11" t="n">
        <x:f>0</x:f>
        <x:v>0</x:v>
      </x:c>
      <x:c r="F93" s="11" t="n">
        <x:f>'參數'!$C$47</x:f>
        <x:v>0</x:v>
      </x:c>
      <x:c r="G93" s="11" t="n">
        <x:f>'參數'!$C$48</x:f>
        <x:v>0</x:v>
      </x:c>
      <x:c r="H93" s="11" t="n">
        <x:f>'參數'!$C$49</x:f>
        <x:v>0</x:v>
      </x:c>
      <x:c r="I93" s="11" t="n">
        <x:f>F93+IF($B93="pE",$D93,IF($C93="pE",$E93,'參數'!$C$5))*IF($B93="scale",$D93,IF($C93="scale",$E93,'參數'!$C$8))</x:f>
        <x:v>10</x:v>
      </x:c>
      <x:c r="J93" s="11" t="n">
        <x:f>G93+IF($B93="pM",$D93,IF($C93="pM",$E93,'參數'!$C$6))*IF($B93="scale",$D93,IF($C93="scale",$E93,'參數'!$C$8))</x:f>
        <x:v>15</x:v>
      </x:c>
      <x:c r="K93" s="11" t="n">
        <x:f>H93+IF($B93="pA",$D93,IF($C93="pA",$E93,'參數'!$C$7))*IF($B93="scale",$D93,IF($C93="scale",$E93,'參數'!$C$8))</x:f>
        <x:v>50</x:v>
      </x:c>
      <x:c r="L93" s="11" t="n">
        <x:f>I93*IF($B93="winE",$D93,IF($C93="winE",$E93,'參數'!$C$9))</x:f>
        <x:v>4</x:v>
      </x:c>
      <x:c r="M93" s="28" t="n">
        <x:f>J93*IF($B93="winM",$D93,IF($C93="winM",$E93,'參數'!$C$10))</x:f>
        <x:v>6</x:v>
      </x:c>
      <x:c r="N93" s="28" t="n">
        <x:f>MIN(K93,IF($B93="readyA",$D93,IF($C93="readyA",$E93,'參數'!$C$11))*IF($B93="gateA",$D93,IF($C93="gateA",$E93,'參數'!$C$12)))</x:f>
        <x:v>10</x:v>
      </x:c>
      <x:c r="O93" s="28" t="n">
        <x:f>L93+M93+N93</x:f>
        <x:v>20</x:v>
      </x:c>
      <x:c r="P93" s="28" t="n">
        <x:f>(I93-L93)*IF($B93="attrition",$D93,IF($C93="attrition",$E93,'參數'!$C$13))</x:f>
        <x:v>1.2000000000000002</x:v>
      </x:c>
      <x:c r="Q93" s="28" t="n">
        <x:f>(J93-M93)*IF($B93="attrition",$D93,IF($C93="attrition",$E93,'參數'!$C$13))</x:f>
        <x:v>1.8</x:v>
      </x:c>
      <x:c r="R93" s="28" t="n">
        <x:f>(K93-N93)*IF($B93="attrition",$D93,IF($C93="attrition",$E93,'參數'!$C$13))</x:f>
        <x:v>8</x:v>
      </x:c>
      <x:c r="S93" s="28" t="n">
        <x:f>I93-L93-P93</x:f>
        <x:v>4.8</x:v>
      </x:c>
      <x:c r="T93" s="28" t="n">
        <x:f>J93-M93-Q93</x:f>
        <x:v>7.2</x:v>
      </x:c>
      <x:c r="U93" s="28" t="n">
        <x:f>K93-N93-R93</x:f>
        <x:v>32</x:v>
      </x:c>
      <x:c r="V93" s="28" t="n">
        <x:f>'參數'!$C$44</x:f>
        <x:v>0</x:v>
      </x:c>
      <x:c r="W93" s="28" t="n">
        <x:f>'參數'!$C$45</x:f>
        <x:v>0</x:v>
      </x:c>
      <x:c r="X93" s="28" t="n">
        <x:f>'參數'!$C$46</x:f>
        <x:v>0</x:v>
      </x:c>
      <x:c r="Y93" s="28" t="n">
        <x:f>V93*IF($B93="relE",$D93,IF($C93="relE",$E93,'參數'!$C$17))+L93*IF($B93="nowE",$D93,IF($C93="nowE",$E93,'參數'!$C$14))</x:f>
        <x:v>4</x:v>
      </x:c>
      <x:c r="Z93" s="28" t="n">
        <x:f>W93*IF($B93="relM",$D93,IF($C93="relM",$E93,'參數'!$C$18))+M93*IF($B93="nowM",$D93,IF($C93="nowM",$E93,'參數'!$C$15))</x:f>
        <x:v>6</x:v>
      </x:c>
      <x:c r="AA93" s="28" t="n">
        <x:f>X93*IF($B93="relA",$D93,IF($C93="relA",$E93,'參數'!$C$19))+N93*IF($B93="nowA",$D93,IF($C93="nowA",$E93,'參數'!$C$16))</x:f>
        <x:v>0</x:v>
      </x:c>
      <x:c r="AB93" s="28" t="n">
        <x:f>Y93+Z93+AA93</x:f>
        <x:v>10</x:v>
      </x:c>
      <x:c r="AC93" s="28" t="n">
        <x:f>IF($B93="capacity",$D93,IF($C93="capacity",$E93,'參數'!$C$20))</x:f>
        <x:v>10</x:v>
      </x:c>
      <x:c r="AD93" s="28" t="n">
        <x:f>IF(AC93=0,0,AB93/AC93)</x:f>
        <x:v>1</x:v>
      </x:c>
      <x:c r="AE93" s="29" t="n">
        <x:f>MAX(0,AD93-1)*IF($B93="congestion",$D93,IF($C93="congestion",$E93,'參數'!$C$28))</x:f>
        <x:v>0</x:v>
      </x:c>
      <x:c r="AF93" s="29" t="n">
        <x:f>1-(1-(IF($B93="gmE",$D93,IF($C93="gmE",$E93,'參數'!$C$21))+IF($B93="shock",$D93,IF($C93="shock",$E93,'參數'!$C$26))))*(1+IF($B93="inflation",$D93,IF($C93="inflation",$E93,'參數'!$C$27)))-AE93</x:f>
        <x:v>0.12</x:v>
      </x:c>
      <x:c r="AG93" s="29" t="n">
        <x:f>1-(1-(IF($B93="gmM",$D93,IF($C93="gmM",$E93,'參數'!$C$22))+IF($B93="dev",$D93,IF($C93="dev",$E93,'參數'!$C$23))*IF($B93="devReal",$D93,IF($C93="devReal",$E93,'參數'!$C$24))+IF($B93="shock",$D93,IF($C93="shock",$E93,'參數'!$C$26))))*(1+IF($B93="inflation",$D93,IF($C93="inflation",$E93,'參數'!$C$27)))-AE93</x:f>
        <x:v>0.17999999999999994</x:v>
      </x:c>
      <x:c r="AH93" s="29" t="n">
        <x:f>1-(1-(IF($B93="gmA",$D93,IF($C93="gmA",$E93,'參數'!$C$25))+IF($B93="shock",$D93,IF($C93="shock",$E93,'參數'!$C$26))))*(1+IF($B93="inflation",$D93,IF($C93="inflation",$E93,'參數'!$C$27)))-AE93</x:f>
        <x:v>0.16000000000000003</x:v>
      </x:c>
      <x:c r="AI93" s="29" t="n">
        <x:f>IF(AB93=0,0,(Y93*AF93+Z93*AG93+AA93*AH93)/AB93)</x:f>
        <x:v>0.15599999999999997</x:v>
      </x:c>
      <x:c r="AJ93" s="28" t="n">
        <x:f>'參數'!$C$43</x:f>
        <x:v>1</x:v>
      </x:c>
      <x:c r="AK93" s="28" t="n">
        <x:f>MAX(0,(IF($B93="dso",$D93,IF($C93="dso",$E93,'參數'!$C$32))-(1-AI93)*IF($B93="dpo",$D93,IF($C93="dpo",$E93,'參數'!$C$33)))/365)</x:f>
        <x:v>0.10783561643835614</x:v>
      </x:c>
      <x:c r="AL93" s="28" t="n">
        <x:f>IF(AK93=0,AB93,(MAX(0,AJ93)+IF($B93="credit",$D93,IF($C93="credit",$E93,'參數'!$C$37)))/AK93)</x:f>
        <x:v>9.27337398373984</x:v>
      </x:c>
      <x:c r="AM93" s="28" t="n">
        <x:f>MIN(AB93,AC93,AL93)</x:f>
        <x:v>9.27337398373984</x:v>
      </x:c>
      <x:c r="AN93" s="28" t="n">
        <x:f>IF(AB93=0,0,AM93*Y93/AB93)</x:f>
        <x:v>3.7093495934959355</x:v>
      </x:c>
      <x:c r="AO93" s="28" t="n">
        <x:f>IF(AB93=0,0,AM93*Z93/AB93)</x:f>
        <x:v>5.564024390243904</x:v>
      </x:c>
      <x:c r="AP93" s="28" t="n">
        <x:f>IF(AB93=0,0,AM93*AA93/AB93)</x:f>
        <x:v>0</x:v>
      </x:c>
      <x:c r="AQ93" s="28" t="n">
        <x:f>V93+L93-AN93</x:f>
        <x:v>0.2906504065040645</x:v>
      </x:c>
      <x:c r="AR93" s="28" t="n">
        <x:f>W93+M93-AO93</x:f>
        <x:v>0.4359756097560963</x:v>
      </x:c>
      <x:c r="AS93" s="28" t="n">
        <x:f>X93+N93-AP93</x:f>
        <x:v>10</x:v>
      </x:c>
      <x:c r="AT93" s="28" t="n">
        <x:f>AQ93+AR93+AS93</x:f>
        <x:v>10.72662601626016</x:v>
      </x:c>
      <x:c r="AU93" s="28" t="n">
        <x:f>AN93*(1-AF93)+AO93*(1-AG93)+AP93*(1-AH93)</x:f>
        <x:v>7.826727642276425</x:v>
      </x:c>
      <x:c r="AV93" s="28" t="n">
        <x:f>AM93-AU93</x:f>
        <x:v>1.4466463414634143</x:v>
      </x:c>
      <x:c r="AW93" s="29" t="n">
        <x:f>IF(AM93=0,0,AV93/AM93)</x:f>
        <x:v>0.15599999999999994</x:v>
      </x:c>
      <x:c r="AX93" s="28" t="n">
        <x:f>IF($B93="head",$D93,IF($C93="head",$E93,'參數'!$C$29))*IF($B93="wage",$D93,IF($C93="wage",$E93,'參數'!$C$30))</x:f>
        <x:v>0.22</x:v>
      </x:c>
      <x:c r="AY93" s="28" t="n">
        <x:f>IF($B93="opex",$D93,IF($C93="opex",$E93,'參數'!$C$31))</x:f>
        <x:v>0.23</x:v>
      </x:c>
      <x:c r="AZ93" s="28" t="n">
        <x:f>AX93+AY93</x:f>
        <x:v>0.45</x:v>
      </x:c>
      <x:c r="BA93" s="28" t="n">
        <x:f>AV93-AZ93</x:f>
        <x:v>0.9966463414634144</x:v>
      </x:c>
      <x:c r="BB93" s="28" t="n">
        <x:f>AM93*AK93</x:f>
        <x:v>1</x:v>
      </x:c>
      <x:c r="BC93" s="28" t="n">
        <x:f>0</x:f>
        <x:v>0</x:v>
      </x:c>
      <x:c r="BD93" s="28" t="n">
        <x:f>MAX(0,BB93-MAX(0,AJ93))</x:f>
        <x:v>0</x:v>
      </x:c>
      <x:c r="BE93" s="28" t="n">
        <x:f>(BC93+BD93)/2</x:f>
        <x:v>0</x:v>
      </x:c>
      <x:c r="BF93" s="28" t="n">
        <x:f>BE93*IF($B93="rate",$D93,IF($C93="rate",$E93,'參數'!$C$34))</x:f>
        <x:v>0</x:v>
      </x:c>
      <x:c r="BG93" s="28" t="n">
        <x:f>IF($B93="nonop",$D93,IF($C93="nonop",$E93,'參數'!$C$36))</x:f>
        <x:v>0.02</x:v>
      </x:c>
      <x:c r="BH93" s="28" t="n">
        <x:f>BA93+BG93-BF93</x:f>
        <x:v>1.0166463414634144</x:v>
      </x:c>
      <x:c r="BI93" s="28" t="n">
        <x:f>MAX(0,BH93)*IF($B93="tax",$D93,IF($C93="tax",$E93,'參數'!$C$35))</x:f>
        <x:v>0.20332926829268289</x:v>
      </x:c>
      <x:c r="BJ93" s="28" t="n">
        <x:f>BH93-BI93</x:f>
        <x:v>0.8133170731707315</x:v>
      </x:c>
      <x:c r="BK93" s="29" t="n">
        <x:f>IF(AM93=0,0,BJ93/AM93)</x:f>
        <x:v>0.08770454794520545</x:v>
      </x:c>
      <x:c r="BL93" s="28" t="n">
        <x:f>IF(BJ93&gt;=0,BJ93*IF($B93="retain",$D93,IF($C93="retain",$E93,'參數'!$C$38)),BJ93)</x:f>
        <x:v>0.40665853658536577</x:v>
      </x:c>
      <x:c r="BM93" s="28" t="n">
        <x:f>AJ93+BL93</x:f>
        <x:v>1.4066585365853657</x:v>
      </x:c>
      <x:c r="BN93" s="28" t="n">
        <x:f>MAX(0,AB93-AC93)</x:f>
        <x:v>0</x:v>
      </x:c>
      <x:c r="BO93" s="28" t="n">
        <x:f>MAX(0,MIN(AB93,AC93)-AM93)</x:f>
        <x:v>0.7266260162601608</x:v>
      </x:c>
    </x:row>
    <x:row r="94" ht="24" customHeight="1">
      <x:c r="A94" s="2" t="str">
        <x:v>可用短期借款上限高端</x:v>
      </x:c>
      <x:c r="B94" s="2" t="str">
        <x:v>credit</x:v>
      </x:c>
      <x:c r="C94" s="2" t="str"/>
      <x:c r="D94" s="11" t="n">
        <x:f>D22</x:f>
        <x:v>5</x:v>
      </x:c>
      <x:c r="E94" s="11" t="n">
        <x:f>0</x:f>
        <x:v>0</x:v>
      </x:c>
      <x:c r="F94" s="11" t="n">
        <x:f>'參數'!$C$47</x:f>
        <x:v>0</x:v>
      </x:c>
      <x:c r="G94" s="11" t="n">
        <x:f>'參數'!$C$48</x:f>
        <x:v>0</x:v>
      </x:c>
      <x:c r="H94" s="11" t="n">
        <x:f>'參數'!$C$49</x:f>
        <x:v>0</x:v>
      </x:c>
      <x:c r="I94" s="11" t="n">
        <x:f>F94+IF($B94="pE",$D94,IF($C94="pE",$E94,'參數'!$C$5))*IF($B94="scale",$D94,IF($C94="scale",$E94,'參數'!$C$8))</x:f>
        <x:v>10</x:v>
      </x:c>
      <x:c r="J94" s="11" t="n">
        <x:f>G94+IF($B94="pM",$D94,IF($C94="pM",$E94,'參數'!$C$6))*IF($B94="scale",$D94,IF($C94="scale",$E94,'參數'!$C$8))</x:f>
        <x:v>15</x:v>
      </x:c>
      <x:c r="K94" s="11" t="n">
        <x:f>H94+IF($B94="pA",$D94,IF($C94="pA",$E94,'參數'!$C$7))*IF($B94="scale",$D94,IF($C94="scale",$E94,'參數'!$C$8))</x:f>
        <x:v>50</x:v>
      </x:c>
      <x:c r="L94" s="11" t="n">
        <x:f>I94*IF($B94="winE",$D94,IF($C94="winE",$E94,'參數'!$C$9))</x:f>
        <x:v>4</x:v>
      </x:c>
      <x:c r="M94" s="28" t="n">
        <x:f>J94*IF($B94="winM",$D94,IF($C94="winM",$E94,'參數'!$C$10))</x:f>
        <x:v>6</x:v>
      </x:c>
      <x:c r="N94" s="28" t="n">
        <x:f>MIN(K94,IF($B94="readyA",$D94,IF($C94="readyA",$E94,'參數'!$C$11))*IF($B94="gateA",$D94,IF($C94="gateA",$E94,'參數'!$C$12)))</x:f>
        <x:v>10</x:v>
      </x:c>
      <x:c r="O94" s="28" t="n">
        <x:f>L94+M94+N94</x:f>
        <x:v>20</x:v>
      </x:c>
      <x:c r="P94" s="28" t="n">
        <x:f>(I94-L94)*IF($B94="attrition",$D94,IF($C94="attrition",$E94,'參數'!$C$13))</x:f>
        <x:v>1.2000000000000002</x:v>
      </x:c>
      <x:c r="Q94" s="28" t="n">
        <x:f>(J94-M94)*IF($B94="attrition",$D94,IF($C94="attrition",$E94,'參數'!$C$13))</x:f>
        <x:v>1.8</x:v>
      </x:c>
      <x:c r="R94" s="28" t="n">
        <x:f>(K94-N94)*IF($B94="attrition",$D94,IF($C94="attrition",$E94,'參數'!$C$13))</x:f>
        <x:v>8</x:v>
      </x:c>
      <x:c r="S94" s="28" t="n">
        <x:f>I94-L94-P94</x:f>
        <x:v>4.8</x:v>
      </x:c>
      <x:c r="T94" s="28" t="n">
        <x:f>J94-M94-Q94</x:f>
        <x:v>7.2</x:v>
      </x:c>
      <x:c r="U94" s="28" t="n">
        <x:f>K94-N94-R94</x:f>
        <x:v>32</x:v>
      </x:c>
      <x:c r="V94" s="28" t="n">
        <x:f>'參數'!$C$44</x:f>
        <x:v>0</x:v>
      </x:c>
      <x:c r="W94" s="28" t="n">
        <x:f>'參數'!$C$45</x:f>
        <x:v>0</x:v>
      </x:c>
      <x:c r="X94" s="28" t="n">
        <x:f>'參數'!$C$46</x:f>
        <x:v>0</x:v>
      </x:c>
      <x:c r="Y94" s="28" t="n">
        <x:f>V94*IF($B94="relE",$D94,IF($C94="relE",$E94,'參數'!$C$17))+L94*IF($B94="nowE",$D94,IF($C94="nowE",$E94,'參數'!$C$14))</x:f>
        <x:v>4</x:v>
      </x:c>
      <x:c r="Z94" s="28" t="n">
        <x:f>W94*IF($B94="relM",$D94,IF($C94="relM",$E94,'參數'!$C$18))+M94*IF($B94="nowM",$D94,IF($C94="nowM",$E94,'參數'!$C$15))</x:f>
        <x:v>6</x:v>
      </x:c>
      <x:c r="AA94" s="28" t="n">
        <x:f>X94*IF($B94="relA",$D94,IF($C94="relA",$E94,'參數'!$C$19))+N94*IF($B94="nowA",$D94,IF($C94="nowA",$E94,'參數'!$C$16))</x:f>
        <x:v>0</x:v>
      </x:c>
      <x:c r="AB94" s="28" t="n">
        <x:f>Y94+Z94+AA94</x:f>
        <x:v>10</x:v>
      </x:c>
      <x:c r="AC94" s="28" t="n">
        <x:f>IF($B94="capacity",$D94,IF($C94="capacity",$E94,'參數'!$C$20))</x:f>
        <x:v>10</x:v>
      </x:c>
      <x:c r="AD94" s="28" t="n">
        <x:f>IF(AC94=0,0,AB94/AC94)</x:f>
        <x:v>1</x:v>
      </x:c>
      <x:c r="AE94" s="29" t="n">
        <x:f>MAX(0,AD94-1)*IF($B94="congestion",$D94,IF($C94="congestion",$E94,'參數'!$C$28))</x:f>
        <x:v>0</x:v>
      </x:c>
      <x:c r="AF94" s="29" t="n">
        <x:f>1-(1-(IF($B94="gmE",$D94,IF($C94="gmE",$E94,'參數'!$C$21))+IF($B94="shock",$D94,IF($C94="shock",$E94,'參數'!$C$26))))*(1+IF($B94="inflation",$D94,IF($C94="inflation",$E94,'參數'!$C$27)))-AE94</x:f>
        <x:v>0.12</x:v>
      </x:c>
      <x:c r="AG94" s="29" t="n">
        <x:f>1-(1-(IF($B94="gmM",$D94,IF($C94="gmM",$E94,'參數'!$C$22))+IF($B94="dev",$D94,IF($C94="dev",$E94,'參數'!$C$23))*IF($B94="devReal",$D94,IF($C94="devReal",$E94,'參數'!$C$24))+IF($B94="shock",$D94,IF($C94="shock",$E94,'參數'!$C$26))))*(1+IF($B94="inflation",$D94,IF($C94="inflation",$E94,'參數'!$C$27)))-AE94</x:f>
        <x:v>0.17999999999999994</x:v>
      </x:c>
      <x:c r="AH94" s="29" t="n">
        <x:f>1-(1-(IF($B94="gmA",$D94,IF($C94="gmA",$E94,'參數'!$C$25))+IF($B94="shock",$D94,IF($C94="shock",$E94,'參數'!$C$26))))*(1+IF($B94="inflation",$D94,IF($C94="inflation",$E94,'參數'!$C$27)))-AE94</x:f>
        <x:v>0.16000000000000003</x:v>
      </x:c>
      <x:c r="AI94" s="29" t="n">
        <x:f>IF(AB94=0,0,(Y94*AF94+Z94*AG94+AA94*AH94)/AB94)</x:f>
        <x:v>0.15599999999999997</x:v>
      </x:c>
      <x:c r="AJ94" s="28" t="n">
        <x:f>'參數'!$C$43</x:f>
        <x:v>1</x:v>
      </x:c>
      <x:c r="AK94" s="28" t="n">
        <x:f>MAX(0,(IF($B94="dso",$D94,IF($C94="dso",$E94,'參數'!$C$32))-(1-AI94)*IF($B94="dpo",$D94,IF($C94="dpo",$E94,'參數'!$C$33)))/365)</x:f>
        <x:v>0.10783561643835614</x:v>
      </x:c>
      <x:c r="AL94" s="28" t="n">
        <x:f>IF(AK94=0,AB94,(MAX(0,AJ94)+IF($B94="credit",$D94,IF($C94="credit",$E94,'參數'!$C$37)))/AK94)</x:f>
        <x:v>55.64024390243904</x:v>
      </x:c>
      <x:c r="AM94" s="28" t="n">
        <x:f>MIN(AB94,AC94,AL94)</x:f>
        <x:v>10</x:v>
      </x:c>
      <x:c r="AN94" s="28" t="n">
        <x:f>IF(AB94=0,0,AM94*Y94/AB94)</x:f>
        <x:v>4</x:v>
      </x:c>
      <x:c r="AO94" s="28" t="n">
        <x:f>IF(AB94=0,0,AM94*Z94/AB94)</x:f>
        <x:v>6</x:v>
      </x:c>
      <x:c r="AP94" s="28" t="n">
        <x:f>IF(AB94=0,0,AM94*AA94/AB94)</x:f>
        <x:v>0</x:v>
      </x:c>
      <x:c r="AQ94" s="28" t="n">
        <x:f>V94+L94-AN94</x:f>
        <x:v>0</x:v>
      </x:c>
      <x:c r="AR94" s="28" t="n">
        <x:f>W94+M94-AO94</x:f>
        <x:v>0</x:v>
      </x:c>
      <x:c r="AS94" s="28" t="n">
        <x:f>X94+N94-AP94</x:f>
        <x:v>10</x:v>
      </x:c>
      <x:c r="AT94" s="28" t="n">
        <x:f>AQ94+AR94+AS94</x:f>
        <x:v>10</x:v>
      </x:c>
      <x:c r="AU94" s="28" t="n">
        <x:f>AN94*(1-AF94)+AO94*(1-AG94)+AP94*(1-AH94)</x:f>
        <x:v>8.44</x:v>
      </x:c>
      <x:c r="AV94" s="28" t="n">
        <x:f>AM94-AU94</x:f>
        <x:v>1.5600000000000005</x:v>
      </x:c>
      <x:c r="AW94" s="29" t="n">
        <x:f>IF(AM94=0,0,AV94/AM94)</x:f>
        <x:v>0.15600000000000006</x:v>
      </x:c>
      <x:c r="AX94" s="28" t="n">
        <x:f>IF($B94="head",$D94,IF($C94="head",$E94,'參數'!$C$29))*IF($B94="wage",$D94,IF($C94="wage",$E94,'參數'!$C$30))</x:f>
        <x:v>0.22</x:v>
      </x:c>
      <x:c r="AY94" s="28" t="n">
        <x:f>IF($B94="opex",$D94,IF($C94="opex",$E94,'參數'!$C$31))</x:f>
        <x:v>0.23</x:v>
      </x:c>
      <x:c r="AZ94" s="28" t="n">
        <x:f>AX94+AY94</x:f>
        <x:v>0.45</x:v>
      </x:c>
      <x:c r="BA94" s="28" t="n">
        <x:f>AV94-AZ94</x:f>
        <x:v>1.1100000000000005</x:v>
      </x:c>
      <x:c r="BB94" s="28" t="n">
        <x:f>AM94*AK94</x:f>
        <x:v>1.0783561643835613</x:v>
      </x:c>
      <x:c r="BC94" s="28" t="n">
        <x:f>0</x:f>
        <x:v>0</x:v>
      </x:c>
      <x:c r="BD94" s="28" t="n">
        <x:f>MAX(0,BB94-MAX(0,AJ94))</x:f>
        <x:v>0.0783561643835613</x:v>
      </x:c>
      <x:c r="BE94" s="28" t="n">
        <x:f>(BC94+BD94)/2</x:f>
        <x:v>0.03917808219178065</x:v>
      </x:c>
      <x:c r="BF94" s="28" t="n">
        <x:f>BE94*IF($B94="rate",$D94,IF($C94="rate",$E94,'參數'!$C$34))</x:f>
        <x:v>0.001567123287671226</x:v>
      </x:c>
      <x:c r="BG94" s="28" t="n">
        <x:f>IF($B94="nonop",$D94,IF($C94="nonop",$E94,'參數'!$C$36))</x:f>
        <x:v>0.02</x:v>
      </x:c>
      <x:c r="BH94" s="28" t="n">
        <x:f>BA94+BG94-BF94</x:f>
        <x:v>1.1284328767123293</x:v>
      </x:c>
      <x:c r="BI94" s="28" t="n">
        <x:f>MAX(0,BH94)*IF($B94="tax",$D94,IF($C94="tax",$E94,'參數'!$C$35))</x:f>
        <x:v>0.22568657534246586</x:v>
      </x:c>
      <x:c r="BJ94" s="28" t="n">
        <x:f>BH94-BI94</x:f>
        <x:v>0.9027463013698634</x:v>
      </x:c>
      <x:c r="BK94" s="29" t="n">
        <x:f>IF(AM94=0,0,BJ94/AM94)</x:f>
        <x:v>0.09027463013698635</x:v>
      </x:c>
      <x:c r="BL94" s="28" t="n">
        <x:f>IF(BJ94&gt;=0,BJ94*IF($B94="retain",$D94,IF($C94="retain",$E94,'參數'!$C$38)),BJ94)</x:f>
        <x:v>0.4513731506849317</x:v>
      </x:c>
      <x:c r="BM94" s="28" t="n">
        <x:f>AJ94+BL94</x:f>
        <x:v>1.4513731506849317</x:v>
      </x:c>
      <x:c r="BN94" s="28" t="n">
        <x:f>MAX(0,AB94-AC94)</x:f>
        <x:v>0</x:v>
      </x:c>
      <x:c r="BO94" s="28" t="n">
        <x:f>MAX(0,MIN(AB94,AC94)-AM94)</x:f>
        <x:v>0</x:v>
      </x:c>
    </x:row>
    <x:row r="95" ht="24" customHeight="1">
      <x:c r="A95" s="2" t="str">
        <x:v>正淨利轉入資金池比例低端</x:v>
      </x:c>
      <x:c r="B95" s="2" t="str">
        <x:v>retain</x:v>
      </x:c>
      <x:c r="C95" s="2" t="str"/>
      <x:c r="D95" s="11" t="n">
        <x:f>C23</x:f>
        <x:v>0</x:v>
      </x:c>
      <x:c r="E95" s="11" t="n">
        <x:f>0</x:f>
        <x:v>0</x:v>
      </x:c>
      <x:c r="F95" s="11" t="n">
        <x:f>'參數'!$C$47</x:f>
        <x:v>0</x:v>
      </x:c>
      <x:c r="G95" s="11" t="n">
        <x:f>'參數'!$C$48</x:f>
        <x:v>0</x:v>
      </x:c>
      <x:c r="H95" s="11" t="n">
        <x:f>'參數'!$C$49</x:f>
        <x:v>0</x:v>
      </x:c>
      <x:c r="I95" s="11" t="n">
        <x:f>F95+IF($B95="pE",$D95,IF($C95="pE",$E95,'參數'!$C$5))*IF($B95="scale",$D95,IF($C95="scale",$E95,'參數'!$C$8))</x:f>
        <x:v>10</x:v>
      </x:c>
      <x:c r="J95" s="11" t="n">
        <x:f>G95+IF($B95="pM",$D95,IF($C95="pM",$E95,'參數'!$C$6))*IF($B95="scale",$D95,IF($C95="scale",$E95,'參數'!$C$8))</x:f>
        <x:v>15</x:v>
      </x:c>
      <x:c r="K95" s="11" t="n">
        <x:f>H95+IF($B95="pA",$D95,IF($C95="pA",$E95,'參數'!$C$7))*IF($B95="scale",$D95,IF($C95="scale",$E95,'參數'!$C$8))</x:f>
        <x:v>50</x:v>
      </x:c>
      <x:c r="L95" s="11" t="n">
        <x:f>I95*IF($B95="winE",$D95,IF($C95="winE",$E95,'參數'!$C$9))</x:f>
        <x:v>4</x:v>
      </x:c>
      <x:c r="M95" s="28" t="n">
        <x:f>J95*IF($B95="winM",$D95,IF($C95="winM",$E95,'參數'!$C$10))</x:f>
        <x:v>6</x:v>
      </x:c>
      <x:c r="N95" s="28" t="n">
        <x:f>MIN(K95,IF($B95="readyA",$D95,IF($C95="readyA",$E95,'參數'!$C$11))*IF($B95="gateA",$D95,IF($C95="gateA",$E95,'參數'!$C$12)))</x:f>
        <x:v>10</x:v>
      </x:c>
      <x:c r="O95" s="28" t="n">
        <x:f>L95+M95+N95</x:f>
        <x:v>20</x:v>
      </x:c>
      <x:c r="P95" s="28" t="n">
        <x:f>(I95-L95)*IF($B95="attrition",$D95,IF($C95="attrition",$E95,'參數'!$C$13))</x:f>
        <x:v>1.2000000000000002</x:v>
      </x:c>
      <x:c r="Q95" s="28" t="n">
        <x:f>(J95-M95)*IF($B95="attrition",$D95,IF($C95="attrition",$E95,'參數'!$C$13))</x:f>
        <x:v>1.8</x:v>
      </x:c>
      <x:c r="R95" s="28" t="n">
        <x:f>(K95-N95)*IF($B95="attrition",$D95,IF($C95="attrition",$E95,'參數'!$C$13))</x:f>
        <x:v>8</x:v>
      </x:c>
      <x:c r="S95" s="28" t="n">
        <x:f>I95-L95-P95</x:f>
        <x:v>4.8</x:v>
      </x:c>
      <x:c r="T95" s="28" t="n">
        <x:f>J95-M95-Q95</x:f>
        <x:v>7.2</x:v>
      </x:c>
      <x:c r="U95" s="28" t="n">
        <x:f>K95-N95-R95</x:f>
        <x:v>32</x:v>
      </x:c>
      <x:c r="V95" s="28" t="n">
        <x:f>'參數'!$C$44</x:f>
        <x:v>0</x:v>
      </x:c>
      <x:c r="W95" s="28" t="n">
        <x:f>'參數'!$C$45</x:f>
        <x:v>0</x:v>
      </x:c>
      <x:c r="X95" s="28" t="n">
        <x:f>'參數'!$C$46</x:f>
        <x:v>0</x:v>
      </x:c>
      <x:c r="Y95" s="28" t="n">
        <x:f>V95*IF($B95="relE",$D95,IF($C95="relE",$E95,'參數'!$C$17))+L95*IF($B95="nowE",$D95,IF($C95="nowE",$E95,'參數'!$C$14))</x:f>
        <x:v>4</x:v>
      </x:c>
      <x:c r="Z95" s="28" t="n">
        <x:f>W95*IF($B95="relM",$D95,IF($C95="relM",$E95,'參數'!$C$18))+M95*IF($B95="nowM",$D95,IF($C95="nowM",$E95,'參數'!$C$15))</x:f>
        <x:v>6</x:v>
      </x:c>
      <x:c r="AA95" s="28" t="n">
        <x:f>X95*IF($B95="relA",$D95,IF($C95="relA",$E95,'參數'!$C$19))+N95*IF($B95="nowA",$D95,IF($C95="nowA",$E95,'參數'!$C$16))</x:f>
        <x:v>0</x:v>
      </x:c>
      <x:c r="AB95" s="28" t="n">
        <x:f>Y95+Z95+AA95</x:f>
        <x:v>10</x:v>
      </x:c>
      <x:c r="AC95" s="28" t="n">
        <x:f>IF($B95="capacity",$D95,IF($C95="capacity",$E95,'參數'!$C$20))</x:f>
        <x:v>10</x:v>
      </x:c>
      <x:c r="AD95" s="28" t="n">
        <x:f>IF(AC95=0,0,AB95/AC95)</x:f>
        <x:v>1</x:v>
      </x:c>
      <x:c r="AE95" s="29" t="n">
        <x:f>MAX(0,AD95-1)*IF($B95="congestion",$D95,IF($C95="congestion",$E95,'參數'!$C$28))</x:f>
        <x:v>0</x:v>
      </x:c>
      <x:c r="AF95" s="29" t="n">
        <x:f>1-(1-(IF($B95="gmE",$D95,IF($C95="gmE",$E95,'參數'!$C$21))+IF($B95="shock",$D95,IF($C95="shock",$E95,'參數'!$C$26))))*(1+IF($B95="inflation",$D95,IF($C95="inflation",$E95,'參數'!$C$27)))-AE95</x:f>
        <x:v>0.12</x:v>
      </x:c>
      <x:c r="AG95" s="29" t="n">
        <x:f>1-(1-(IF($B95="gmM",$D95,IF($C95="gmM",$E95,'參數'!$C$22))+IF($B95="dev",$D95,IF($C95="dev",$E95,'參數'!$C$23))*IF($B95="devReal",$D95,IF($C95="devReal",$E95,'參數'!$C$24))+IF($B95="shock",$D95,IF($C95="shock",$E95,'參數'!$C$26))))*(1+IF($B95="inflation",$D95,IF($C95="inflation",$E95,'參數'!$C$27)))-AE95</x:f>
        <x:v>0.17999999999999994</x:v>
      </x:c>
      <x:c r="AH95" s="29" t="n">
        <x:f>1-(1-(IF($B95="gmA",$D95,IF($C95="gmA",$E95,'參數'!$C$25))+IF($B95="shock",$D95,IF($C95="shock",$E95,'參數'!$C$26))))*(1+IF($B95="inflation",$D95,IF($C95="inflation",$E95,'參數'!$C$27)))-AE95</x:f>
        <x:v>0.16000000000000003</x:v>
      </x:c>
      <x:c r="AI95" s="29" t="n">
        <x:f>IF(AB95=0,0,(Y95*AF95+Z95*AG95+AA95*AH95)/AB95)</x:f>
        <x:v>0.15599999999999997</x:v>
      </x:c>
      <x:c r="AJ95" s="28" t="n">
        <x:f>'參數'!$C$43</x:f>
        <x:v>1</x:v>
      </x:c>
      <x:c r="AK95" s="28" t="n">
        <x:f>MAX(0,(IF($B95="dso",$D95,IF($C95="dso",$E95,'參數'!$C$32))-(1-AI95)*IF($B95="dpo",$D95,IF($C95="dpo",$E95,'參數'!$C$33)))/365)</x:f>
        <x:v>0.10783561643835614</x:v>
      </x:c>
      <x:c r="AL95" s="28" t="n">
        <x:f>IF(AK95=0,AB95,(MAX(0,AJ95)+IF($B95="credit",$D95,IF($C95="credit",$E95,'參數'!$C$37)))/AK95)</x:f>
        <x:v>37.09349593495936</x:v>
      </x:c>
      <x:c r="AM95" s="28" t="n">
        <x:f>MIN(AB95,AC95,AL95)</x:f>
        <x:v>10</x:v>
      </x:c>
      <x:c r="AN95" s="28" t="n">
        <x:f>IF(AB95=0,0,AM95*Y95/AB95)</x:f>
        <x:v>4</x:v>
      </x:c>
      <x:c r="AO95" s="28" t="n">
        <x:f>IF(AB95=0,0,AM95*Z95/AB95)</x:f>
        <x:v>6</x:v>
      </x:c>
      <x:c r="AP95" s="28" t="n">
        <x:f>IF(AB95=0,0,AM95*AA95/AB95)</x:f>
        <x:v>0</x:v>
      </x:c>
      <x:c r="AQ95" s="28" t="n">
        <x:f>V95+L95-AN95</x:f>
        <x:v>0</x:v>
      </x:c>
      <x:c r="AR95" s="28" t="n">
        <x:f>W95+M95-AO95</x:f>
        <x:v>0</x:v>
      </x:c>
      <x:c r="AS95" s="28" t="n">
        <x:f>X95+N95-AP95</x:f>
        <x:v>10</x:v>
      </x:c>
      <x:c r="AT95" s="28" t="n">
        <x:f>AQ95+AR95+AS95</x:f>
        <x:v>10</x:v>
      </x:c>
      <x:c r="AU95" s="28" t="n">
        <x:f>AN95*(1-AF95)+AO95*(1-AG95)+AP95*(1-AH95)</x:f>
        <x:v>8.44</x:v>
      </x:c>
      <x:c r="AV95" s="28" t="n">
        <x:f>AM95-AU95</x:f>
        <x:v>1.5600000000000005</x:v>
      </x:c>
      <x:c r="AW95" s="29" t="n">
        <x:f>IF(AM95=0,0,AV95/AM95)</x:f>
        <x:v>0.15600000000000006</x:v>
      </x:c>
      <x:c r="AX95" s="28" t="n">
        <x:f>IF($B95="head",$D95,IF($C95="head",$E95,'參數'!$C$29))*IF($B95="wage",$D95,IF($C95="wage",$E95,'參數'!$C$30))</x:f>
        <x:v>0.22</x:v>
      </x:c>
      <x:c r="AY95" s="28" t="n">
        <x:f>IF($B95="opex",$D95,IF($C95="opex",$E95,'參數'!$C$31))</x:f>
        <x:v>0.23</x:v>
      </x:c>
      <x:c r="AZ95" s="28" t="n">
        <x:f>AX95+AY95</x:f>
        <x:v>0.45</x:v>
      </x:c>
      <x:c r="BA95" s="28" t="n">
        <x:f>AV95-AZ95</x:f>
        <x:v>1.1100000000000005</x:v>
      </x:c>
      <x:c r="BB95" s="28" t="n">
        <x:f>AM95*AK95</x:f>
        <x:v>1.0783561643835613</x:v>
      </x:c>
      <x:c r="BC95" s="28" t="n">
        <x:f>0</x:f>
        <x:v>0</x:v>
      </x:c>
      <x:c r="BD95" s="28" t="n">
        <x:f>MAX(0,BB95-MAX(0,AJ95))</x:f>
        <x:v>0.0783561643835613</x:v>
      </x:c>
      <x:c r="BE95" s="28" t="n">
        <x:f>(BC95+BD95)/2</x:f>
        <x:v>0.03917808219178065</x:v>
      </x:c>
      <x:c r="BF95" s="28" t="n">
        <x:f>BE95*IF($B95="rate",$D95,IF($C95="rate",$E95,'參數'!$C$34))</x:f>
        <x:v>0.001567123287671226</x:v>
      </x:c>
      <x:c r="BG95" s="28" t="n">
        <x:f>IF($B95="nonop",$D95,IF($C95="nonop",$E95,'參數'!$C$36))</x:f>
        <x:v>0.02</x:v>
      </x:c>
      <x:c r="BH95" s="28" t="n">
        <x:f>BA95+BG95-BF95</x:f>
        <x:v>1.1284328767123293</x:v>
      </x:c>
      <x:c r="BI95" s="28" t="n">
        <x:f>MAX(0,BH95)*IF($B95="tax",$D95,IF($C95="tax",$E95,'參數'!$C$35))</x:f>
        <x:v>0.22568657534246586</x:v>
      </x:c>
      <x:c r="BJ95" s="28" t="n">
        <x:f>BH95-BI95</x:f>
        <x:v>0.9027463013698634</x:v>
      </x:c>
      <x:c r="BK95" s="29" t="n">
        <x:f>IF(AM95=0,0,BJ95/AM95)</x:f>
        <x:v>0.09027463013698635</x:v>
      </x:c>
      <x:c r="BL95" s="28" t="n">
        <x:f>IF(BJ95&gt;=0,BJ95*IF($B95="retain",$D95,IF($C95="retain",$E95,'參數'!$C$38)),BJ95)</x:f>
        <x:v>0</x:v>
      </x:c>
      <x:c r="BM95" s="28" t="n">
        <x:f>AJ95+BL95</x:f>
        <x:v>1</x:v>
      </x:c>
      <x:c r="BN95" s="28" t="n">
        <x:f>MAX(0,AB95-AC95)</x:f>
        <x:v>0</x:v>
      </x:c>
      <x:c r="BO95" s="28" t="n">
        <x:f>MAX(0,MIN(AB95,AC95)-AM95)</x:f>
        <x:v>0</x:v>
      </x:c>
    </x:row>
    <x:row r="96" ht="24" customHeight="1">
      <x:c r="A96" s="2" t="str">
        <x:v>正淨利轉入資金池比例高端</x:v>
      </x:c>
      <x:c r="B96" s="2" t="str">
        <x:v>retain</x:v>
      </x:c>
      <x:c r="C96" s="2" t="str"/>
      <x:c r="D96" s="11" t="n">
        <x:f>D23</x:f>
        <x:v>1</x:v>
      </x:c>
      <x:c r="E96" s="11" t="n">
        <x:f>0</x:f>
        <x:v>0</x:v>
      </x:c>
      <x:c r="F96" s="11" t="n">
        <x:f>'參數'!$C$47</x:f>
        <x:v>0</x:v>
      </x:c>
      <x:c r="G96" s="11" t="n">
        <x:f>'參數'!$C$48</x:f>
        <x:v>0</x:v>
      </x:c>
      <x:c r="H96" s="11" t="n">
        <x:f>'參數'!$C$49</x:f>
        <x:v>0</x:v>
      </x:c>
      <x:c r="I96" s="11" t="n">
        <x:f>F96+IF($B96="pE",$D96,IF($C96="pE",$E96,'參數'!$C$5))*IF($B96="scale",$D96,IF($C96="scale",$E96,'參數'!$C$8))</x:f>
        <x:v>10</x:v>
      </x:c>
      <x:c r="J96" s="11" t="n">
        <x:f>G96+IF($B96="pM",$D96,IF($C96="pM",$E96,'參數'!$C$6))*IF($B96="scale",$D96,IF($C96="scale",$E96,'參數'!$C$8))</x:f>
        <x:v>15</x:v>
      </x:c>
      <x:c r="K96" s="11" t="n">
        <x:f>H96+IF($B96="pA",$D96,IF($C96="pA",$E96,'參數'!$C$7))*IF($B96="scale",$D96,IF($C96="scale",$E96,'參數'!$C$8))</x:f>
        <x:v>50</x:v>
      </x:c>
      <x:c r="L96" s="11" t="n">
        <x:f>I96*IF($B96="winE",$D96,IF($C96="winE",$E96,'參數'!$C$9))</x:f>
        <x:v>4</x:v>
      </x:c>
      <x:c r="M96" s="28" t="n">
        <x:f>J96*IF($B96="winM",$D96,IF($C96="winM",$E96,'參數'!$C$10))</x:f>
        <x:v>6</x:v>
      </x:c>
      <x:c r="N96" s="28" t="n">
        <x:f>MIN(K96,IF($B96="readyA",$D96,IF($C96="readyA",$E96,'參數'!$C$11))*IF($B96="gateA",$D96,IF($C96="gateA",$E96,'參數'!$C$12)))</x:f>
        <x:v>10</x:v>
      </x:c>
      <x:c r="O96" s="28" t="n">
        <x:f>L96+M96+N96</x:f>
        <x:v>20</x:v>
      </x:c>
      <x:c r="P96" s="28" t="n">
        <x:f>(I96-L96)*IF($B96="attrition",$D96,IF($C96="attrition",$E96,'參數'!$C$13))</x:f>
        <x:v>1.2000000000000002</x:v>
      </x:c>
      <x:c r="Q96" s="28" t="n">
        <x:f>(J96-M96)*IF($B96="attrition",$D96,IF($C96="attrition",$E96,'參數'!$C$13))</x:f>
        <x:v>1.8</x:v>
      </x:c>
      <x:c r="R96" s="28" t="n">
        <x:f>(K96-N96)*IF($B96="attrition",$D96,IF($C96="attrition",$E96,'參數'!$C$13))</x:f>
        <x:v>8</x:v>
      </x:c>
      <x:c r="S96" s="28" t="n">
        <x:f>I96-L96-P96</x:f>
        <x:v>4.8</x:v>
      </x:c>
      <x:c r="T96" s="28" t="n">
        <x:f>J96-M96-Q96</x:f>
        <x:v>7.2</x:v>
      </x:c>
      <x:c r="U96" s="28" t="n">
        <x:f>K96-N96-R96</x:f>
        <x:v>32</x:v>
      </x:c>
      <x:c r="V96" s="28" t="n">
        <x:f>'參數'!$C$44</x:f>
        <x:v>0</x:v>
      </x:c>
      <x:c r="W96" s="28" t="n">
        <x:f>'參數'!$C$45</x:f>
        <x:v>0</x:v>
      </x:c>
      <x:c r="X96" s="28" t="n">
        <x:f>'參數'!$C$46</x:f>
        <x:v>0</x:v>
      </x:c>
      <x:c r="Y96" s="28" t="n">
        <x:f>V96*IF($B96="relE",$D96,IF($C96="relE",$E96,'參數'!$C$17))+L96*IF($B96="nowE",$D96,IF($C96="nowE",$E96,'參數'!$C$14))</x:f>
        <x:v>4</x:v>
      </x:c>
      <x:c r="Z96" s="28" t="n">
        <x:f>W96*IF($B96="relM",$D96,IF($C96="relM",$E96,'參數'!$C$18))+M96*IF($B96="nowM",$D96,IF($C96="nowM",$E96,'參數'!$C$15))</x:f>
        <x:v>6</x:v>
      </x:c>
      <x:c r="AA96" s="28" t="n">
        <x:f>X96*IF($B96="relA",$D96,IF($C96="relA",$E96,'參數'!$C$19))+N96*IF($B96="nowA",$D96,IF($C96="nowA",$E96,'參數'!$C$16))</x:f>
        <x:v>0</x:v>
      </x:c>
      <x:c r="AB96" s="28" t="n">
        <x:f>Y96+Z96+AA96</x:f>
        <x:v>10</x:v>
      </x:c>
      <x:c r="AC96" s="28" t="n">
        <x:f>IF($B96="capacity",$D96,IF($C96="capacity",$E96,'參數'!$C$20))</x:f>
        <x:v>10</x:v>
      </x:c>
      <x:c r="AD96" s="28" t="n">
        <x:f>IF(AC96=0,0,AB96/AC96)</x:f>
        <x:v>1</x:v>
      </x:c>
      <x:c r="AE96" s="29" t="n">
        <x:f>MAX(0,AD96-1)*IF($B96="congestion",$D96,IF($C96="congestion",$E96,'參數'!$C$28))</x:f>
        <x:v>0</x:v>
      </x:c>
      <x:c r="AF96" s="29" t="n">
        <x:f>1-(1-(IF($B96="gmE",$D96,IF($C96="gmE",$E96,'參數'!$C$21))+IF($B96="shock",$D96,IF($C96="shock",$E96,'參數'!$C$26))))*(1+IF($B96="inflation",$D96,IF($C96="inflation",$E96,'參數'!$C$27)))-AE96</x:f>
        <x:v>0.12</x:v>
      </x:c>
      <x:c r="AG96" s="29" t="n">
        <x:f>1-(1-(IF($B96="gmM",$D96,IF($C96="gmM",$E96,'參數'!$C$22))+IF($B96="dev",$D96,IF($C96="dev",$E96,'參數'!$C$23))*IF($B96="devReal",$D96,IF($C96="devReal",$E96,'參數'!$C$24))+IF($B96="shock",$D96,IF($C96="shock",$E96,'參數'!$C$26))))*(1+IF($B96="inflation",$D96,IF($C96="inflation",$E96,'參數'!$C$27)))-AE96</x:f>
        <x:v>0.17999999999999994</x:v>
      </x:c>
      <x:c r="AH96" s="29" t="n">
        <x:f>1-(1-(IF($B96="gmA",$D96,IF($C96="gmA",$E96,'參數'!$C$25))+IF($B96="shock",$D96,IF($C96="shock",$E96,'參數'!$C$26))))*(1+IF($B96="inflation",$D96,IF($C96="inflation",$E96,'參數'!$C$27)))-AE96</x:f>
        <x:v>0.16000000000000003</x:v>
      </x:c>
      <x:c r="AI96" s="29" t="n">
        <x:f>IF(AB96=0,0,(Y96*AF96+Z96*AG96+AA96*AH96)/AB96)</x:f>
        <x:v>0.15599999999999997</x:v>
      </x:c>
      <x:c r="AJ96" s="28" t="n">
        <x:f>'參數'!$C$43</x:f>
        <x:v>1</x:v>
      </x:c>
      <x:c r="AK96" s="28" t="n">
        <x:f>MAX(0,(IF($B96="dso",$D96,IF($C96="dso",$E96,'參數'!$C$32))-(1-AI96)*IF($B96="dpo",$D96,IF($C96="dpo",$E96,'參數'!$C$33)))/365)</x:f>
        <x:v>0.10783561643835614</x:v>
      </x:c>
      <x:c r="AL96" s="28" t="n">
        <x:f>IF(AK96=0,AB96,(MAX(0,AJ96)+IF($B96="credit",$D96,IF($C96="credit",$E96,'參數'!$C$37)))/AK96)</x:f>
        <x:v>37.09349593495936</x:v>
      </x:c>
      <x:c r="AM96" s="28" t="n">
        <x:f>MIN(AB96,AC96,AL96)</x:f>
        <x:v>10</x:v>
      </x:c>
      <x:c r="AN96" s="28" t="n">
        <x:f>IF(AB96=0,0,AM96*Y96/AB96)</x:f>
        <x:v>4</x:v>
      </x:c>
      <x:c r="AO96" s="28" t="n">
        <x:f>IF(AB96=0,0,AM96*Z96/AB96)</x:f>
        <x:v>6</x:v>
      </x:c>
      <x:c r="AP96" s="28" t="n">
        <x:f>IF(AB96=0,0,AM96*AA96/AB96)</x:f>
        <x:v>0</x:v>
      </x:c>
      <x:c r="AQ96" s="28" t="n">
        <x:f>V96+L96-AN96</x:f>
        <x:v>0</x:v>
      </x:c>
      <x:c r="AR96" s="28" t="n">
        <x:f>W96+M96-AO96</x:f>
        <x:v>0</x:v>
      </x:c>
      <x:c r="AS96" s="28" t="n">
        <x:f>X96+N96-AP96</x:f>
        <x:v>10</x:v>
      </x:c>
      <x:c r="AT96" s="28" t="n">
        <x:f>AQ96+AR96+AS96</x:f>
        <x:v>10</x:v>
      </x:c>
      <x:c r="AU96" s="28" t="n">
        <x:f>AN96*(1-AF96)+AO96*(1-AG96)+AP96*(1-AH96)</x:f>
        <x:v>8.44</x:v>
      </x:c>
      <x:c r="AV96" s="28" t="n">
        <x:f>AM96-AU96</x:f>
        <x:v>1.5600000000000005</x:v>
      </x:c>
      <x:c r="AW96" s="29" t="n">
        <x:f>IF(AM96=0,0,AV96/AM96)</x:f>
        <x:v>0.15600000000000006</x:v>
      </x:c>
      <x:c r="AX96" s="28" t="n">
        <x:f>IF($B96="head",$D96,IF($C96="head",$E96,'參數'!$C$29))*IF($B96="wage",$D96,IF($C96="wage",$E96,'參數'!$C$30))</x:f>
        <x:v>0.22</x:v>
      </x:c>
      <x:c r="AY96" s="28" t="n">
        <x:f>IF($B96="opex",$D96,IF($C96="opex",$E96,'參數'!$C$31))</x:f>
        <x:v>0.23</x:v>
      </x:c>
      <x:c r="AZ96" s="28" t="n">
        <x:f>AX96+AY96</x:f>
        <x:v>0.45</x:v>
      </x:c>
      <x:c r="BA96" s="28" t="n">
        <x:f>AV96-AZ96</x:f>
        <x:v>1.1100000000000005</x:v>
      </x:c>
      <x:c r="BB96" s="28" t="n">
        <x:f>AM96*AK96</x:f>
        <x:v>1.0783561643835613</x:v>
      </x:c>
      <x:c r="BC96" s="28" t="n">
        <x:f>0</x:f>
        <x:v>0</x:v>
      </x:c>
      <x:c r="BD96" s="28" t="n">
        <x:f>MAX(0,BB96-MAX(0,AJ96))</x:f>
        <x:v>0.0783561643835613</x:v>
      </x:c>
      <x:c r="BE96" s="28" t="n">
        <x:f>(BC96+BD96)/2</x:f>
        <x:v>0.03917808219178065</x:v>
      </x:c>
      <x:c r="BF96" s="28" t="n">
        <x:f>BE96*IF($B96="rate",$D96,IF($C96="rate",$E96,'參數'!$C$34))</x:f>
        <x:v>0.001567123287671226</x:v>
      </x:c>
      <x:c r="BG96" s="28" t="n">
        <x:f>IF($B96="nonop",$D96,IF($C96="nonop",$E96,'參數'!$C$36))</x:f>
        <x:v>0.02</x:v>
      </x:c>
      <x:c r="BH96" s="28" t="n">
        <x:f>BA96+BG96-BF96</x:f>
        <x:v>1.1284328767123293</x:v>
      </x:c>
      <x:c r="BI96" s="28" t="n">
        <x:f>MAX(0,BH96)*IF($B96="tax",$D96,IF($C96="tax",$E96,'參數'!$C$35))</x:f>
        <x:v>0.22568657534246586</x:v>
      </x:c>
      <x:c r="BJ96" s="28" t="n">
        <x:f>BH96-BI96</x:f>
        <x:v>0.9027463013698634</x:v>
      </x:c>
      <x:c r="BK96" s="29" t="n">
        <x:f>IF(AM96=0,0,BJ96/AM96)</x:f>
        <x:v>0.09027463013698635</x:v>
      </x:c>
      <x:c r="BL96" s="28" t="n">
        <x:f>IF(BJ96&gt;=0,BJ96*IF($B96="retain",$D96,IF($C96="retain",$E96,'參數'!$C$38)),BJ96)</x:f>
        <x:v>0.9027463013698634</x:v>
      </x:c>
      <x:c r="BM96" s="28" t="n">
        <x:f>AJ96+BL96</x:f>
        <x:v>1.9027463013698633</x:v>
      </x:c>
      <x:c r="BN96" s="28" t="n">
        <x:f>MAX(0,AB96-AC96)</x:f>
        <x:v>0</x:v>
      </x:c>
      <x:c r="BO96" s="28" t="n">
        <x:f>MAX(0,MIN(AB96,AC96)-AM96)</x:f>
        <x:v>0</x:v>
      </x:c>
    </x:row>
    <x:row r="97" ht="24" customHeight="1">
      <x:c r="A97" s="2" t="str">
        <x:v>雙因子1/1</x:v>
      </x:c>
      <x:c r="B97" s="2" t="str">
        <x:v>capacity</x:v>
      </x:c>
      <x:c r="C97" s="2" t="str">
        <x:v>shock</x:v>
      </x:c>
      <x:c r="D97" s="11" t="n">
        <x:f>'雙因子敏感性'!B$6</x:f>
        <x:v>6</x:v>
      </x:c>
      <x:c r="E97" s="11" t="n">
        <x:f>'參數'!C26+'雙因子敏感性'!$A7</x:f>
        <x:v>-0.03</x:v>
      </x:c>
      <x:c r="F97" s="11" t="n">
        <x:f>'參數'!$C$47</x:f>
        <x:v>0</x:v>
      </x:c>
      <x:c r="G97" s="11" t="n">
        <x:f>'參數'!$C$48</x:f>
        <x:v>0</x:v>
      </x:c>
      <x:c r="H97" s="11" t="n">
        <x:f>'參數'!$C$49</x:f>
        <x:v>0</x:v>
      </x:c>
      <x:c r="I97" s="11" t="n">
        <x:f>F97+IF($B97="pE",$D97,IF($C97="pE",$E97,'參數'!$C$5))*IF($B97="scale",$D97,IF($C97="scale",$E97,'參數'!$C$8))</x:f>
        <x:v>10</x:v>
      </x:c>
      <x:c r="J97" s="11" t="n">
        <x:f>G97+IF($B97="pM",$D97,IF($C97="pM",$E97,'參數'!$C$6))*IF($B97="scale",$D97,IF($C97="scale",$E97,'參數'!$C$8))</x:f>
        <x:v>15</x:v>
      </x:c>
      <x:c r="K97" s="11" t="n">
        <x:f>H97+IF($B97="pA",$D97,IF($C97="pA",$E97,'參數'!$C$7))*IF($B97="scale",$D97,IF($C97="scale",$E97,'參數'!$C$8))</x:f>
        <x:v>50</x:v>
      </x:c>
      <x:c r="L97" s="11" t="n">
        <x:f>I97*IF($B97="winE",$D97,IF($C97="winE",$E97,'參數'!$C$9))</x:f>
        <x:v>4</x:v>
      </x:c>
      <x:c r="M97" s="28" t="n">
        <x:f>J97*IF($B97="winM",$D97,IF($C97="winM",$E97,'參數'!$C$10))</x:f>
        <x:v>6</x:v>
      </x:c>
      <x:c r="N97" s="28" t="n">
        <x:f>MIN(K97,IF($B97="readyA",$D97,IF($C97="readyA",$E97,'參數'!$C$11))*IF($B97="gateA",$D97,IF($C97="gateA",$E97,'參數'!$C$12)))</x:f>
        <x:v>10</x:v>
      </x:c>
      <x:c r="O97" s="28" t="n">
        <x:f>L97+M97+N97</x:f>
        <x:v>20</x:v>
      </x:c>
      <x:c r="P97" s="28" t="n">
        <x:f>(I97-L97)*IF($B97="attrition",$D97,IF($C97="attrition",$E97,'參數'!$C$13))</x:f>
        <x:v>1.2000000000000002</x:v>
      </x:c>
      <x:c r="Q97" s="28" t="n">
        <x:f>(J97-M97)*IF($B97="attrition",$D97,IF($C97="attrition",$E97,'參數'!$C$13))</x:f>
        <x:v>1.8</x:v>
      </x:c>
      <x:c r="R97" s="28" t="n">
        <x:f>(K97-N97)*IF($B97="attrition",$D97,IF($C97="attrition",$E97,'參數'!$C$13))</x:f>
        <x:v>8</x:v>
      </x:c>
      <x:c r="S97" s="28" t="n">
        <x:f>I97-L97-P97</x:f>
        <x:v>4.8</x:v>
      </x:c>
      <x:c r="T97" s="28" t="n">
        <x:f>J97-M97-Q97</x:f>
        <x:v>7.2</x:v>
      </x:c>
      <x:c r="U97" s="28" t="n">
        <x:f>K97-N97-R97</x:f>
        <x:v>32</x:v>
      </x:c>
      <x:c r="V97" s="28" t="n">
        <x:f>'參數'!$C$44</x:f>
        <x:v>0</x:v>
      </x:c>
      <x:c r="W97" s="28" t="n">
        <x:f>'參數'!$C$45</x:f>
        <x:v>0</x:v>
      </x:c>
      <x:c r="X97" s="28" t="n">
        <x:f>'參數'!$C$46</x:f>
        <x:v>0</x:v>
      </x:c>
      <x:c r="Y97" s="28" t="n">
        <x:f>V97*IF($B97="relE",$D97,IF($C97="relE",$E97,'參數'!$C$17))+L97*IF($B97="nowE",$D97,IF($C97="nowE",$E97,'參數'!$C$14))</x:f>
        <x:v>4</x:v>
      </x:c>
      <x:c r="Z97" s="28" t="n">
        <x:f>W97*IF($B97="relM",$D97,IF($C97="relM",$E97,'參數'!$C$18))+M97*IF($B97="nowM",$D97,IF($C97="nowM",$E97,'參數'!$C$15))</x:f>
        <x:v>6</x:v>
      </x:c>
      <x:c r="AA97" s="28" t="n">
        <x:f>X97*IF($B97="relA",$D97,IF($C97="relA",$E97,'參數'!$C$19))+N97*IF($B97="nowA",$D97,IF($C97="nowA",$E97,'參數'!$C$16))</x:f>
        <x:v>0</x:v>
      </x:c>
      <x:c r="AB97" s="28" t="n">
        <x:f>Y97+Z97+AA97</x:f>
        <x:v>10</x:v>
      </x:c>
      <x:c r="AC97" s="28" t="n">
        <x:f>IF($B97="capacity",$D97,IF($C97="capacity",$E97,'參數'!$C$20))</x:f>
        <x:v>6</x:v>
      </x:c>
      <x:c r="AD97" s="28" t="n">
        <x:f>IF(AC97=0,0,AB97/AC97)</x:f>
        <x:v>1.6666666666666667</x:v>
      </x:c>
      <x:c r="AE97" s="29" t="n">
        <x:f>MAX(0,AD97-1)*IF($B97="congestion",$D97,IF($C97="congestion",$E97,'參數'!$C$28))</x:f>
        <x:v>0.006666666666666668</x:v>
      </x:c>
      <x:c r="AF97" s="29" t="n">
        <x:f>1-(1-(IF($B97="gmE",$D97,IF($C97="gmE",$E97,'參數'!$C$21))+IF($B97="shock",$D97,IF($C97="shock",$E97,'參數'!$C$26))))*(1+IF($B97="inflation",$D97,IF($C97="inflation",$E97,'參數'!$C$27)))-AE97</x:f>
        <x:v>0.0833333333333333</x:v>
      </x:c>
      <x:c r="AG97" s="29" t="n">
        <x:f>1-(1-(IF($B97="gmM",$D97,IF($C97="gmM",$E97,'參數'!$C$22))+IF($B97="dev",$D97,IF($C97="dev",$E97,'參數'!$C$23))*IF($B97="devReal",$D97,IF($C97="devReal",$E97,'參數'!$C$24))+IF($B97="shock",$D97,IF($C97="shock",$E97,'參數'!$C$26))))*(1+IF($B97="inflation",$D97,IF($C97="inflation",$E97,'參數'!$C$27)))-AE97</x:f>
        <x:v>0.14333333333333337</x:v>
      </x:c>
      <x:c r="AH97" s="29" t="n">
        <x:f>1-(1-(IF($B97="gmA",$D97,IF($C97="gmA",$E97,'參數'!$C$25))+IF($B97="shock",$D97,IF($C97="shock",$E97,'參數'!$C$26))))*(1+IF($B97="inflation",$D97,IF($C97="inflation",$E97,'參數'!$C$27)))-AE97</x:f>
        <x:v>0.12333333333333334</x:v>
      </x:c>
      <x:c r="AI97" s="29" t="n">
        <x:f>IF(AB97=0,0,(Y97*AF97+Z97*AG97+AA97*AH97)/AB97)</x:f>
        <x:v>0.11933333333333333</x:v>
      </x:c>
      <x:c r="AJ97" s="28" t="n">
        <x:f>'參數'!$C$43</x:f>
        <x:v>1</x:v>
      </x:c>
      <x:c r="AK97" s="28" t="n">
        <x:f>MAX(0,(IF($B97="dso",$D97,IF($C97="dso",$E97,'參數'!$C$32))-(1-AI97)*IF($B97="dpo",$D97,IF($C97="dpo",$E97,'參數'!$C$33)))/365)</x:f>
        <x:v>0.10180821917808218</x:v>
      </x:c>
      <x:c r="AL97" s="28" t="n">
        <x:f>IF(AK97=0,AB97,(MAX(0,AJ97)+IF($B97="credit",$D97,IF($C97="credit",$E97,'參數'!$C$37)))/AK97)</x:f>
        <x:v>39.28955866523144</x:v>
      </x:c>
      <x:c r="AM97" s="28" t="n">
        <x:f>MIN(AB97,AC97,AL97)</x:f>
        <x:v>6</x:v>
      </x:c>
      <x:c r="AN97" s="28" t="n">
        <x:f>IF(AB97=0,0,AM97*Y97/AB97)</x:f>
        <x:v>2.4</x:v>
      </x:c>
      <x:c r="AO97" s="28" t="n">
        <x:f>IF(AB97=0,0,AM97*Z97/AB97)</x:f>
        <x:v>3.6</x:v>
      </x:c>
      <x:c r="AP97" s="28" t="n">
        <x:f>IF(AB97=0,0,AM97*AA97/AB97)</x:f>
        <x:v>0</x:v>
      </x:c>
      <x:c r="AQ97" s="28" t="n">
        <x:f>V97+L97-AN97</x:f>
        <x:v>1.6</x:v>
      </x:c>
      <x:c r="AR97" s="28" t="n">
        <x:f>W97+M97-AO97</x:f>
        <x:v>2.4</x:v>
      </x:c>
      <x:c r="AS97" s="28" t="n">
        <x:f>X97+N97-AP97</x:f>
        <x:v>10</x:v>
      </x:c>
      <x:c r="AT97" s="28" t="n">
        <x:f>AQ97+AR97+AS97</x:f>
        <x:v>14</x:v>
      </x:c>
      <x:c r="AU97" s="28" t="n">
        <x:f>AN97*(1-AF97)+AO97*(1-AG97)+AP97*(1-AH97)</x:f>
        <x:v>5.284000000000001</x:v>
      </x:c>
      <x:c r="AV97" s="28" t="n">
        <x:f>AM97-AU97</x:f>
        <x:v>0.7159999999999993</x:v>
      </x:c>
      <x:c r="AW97" s="29" t="n">
        <x:f>IF(AM97=0,0,AV97/AM97)</x:f>
        <x:v>0.11933333333333322</x:v>
      </x:c>
      <x:c r="AX97" s="28" t="n">
        <x:f>IF($B97="head",$D97,IF($C97="head",$E97,'參數'!$C$29))*IF($B97="wage",$D97,IF($C97="wage",$E97,'參數'!$C$30))</x:f>
        <x:v>0.22</x:v>
      </x:c>
      <x:c r="AY97" s="28" t="n">
        <x:f>IF($B97="opex",$D97,IF($C97="opex",$E97,'參數'!$C$31))</x:f>
        <x:v>0.23</x:v>
      </x:c>
      <x:c r="AZ97" s="28" t="n">
        <x:f>AX97+AY97</x:f>
        <x:v>0.45</x:v>
      </x:c>
      <x:c r="BA97" s="28" t="n">
        <x:f>AV97-AZ97</x:f>
        <x:v>0.2659999999999993</x:v>
      </x:c>
      <x:c r="BB97" s="28" t="n">
        <x:f>AM97*AK97</x:f>
        <x:v>0.610849315068493</x:v>
      </x:c>
      <x:c r="BC97" s="28" t="n">
        <x:f>0</x:f>
        <x:v>0</x:v>
      </x:c>
      <x:c r="BD97" s="28" t="n">
        <x:f>MAX(0,BB97-MAX(0,AJ97))</x:f>
        <x:v>0</x:v>
      </x:c>
      <x:c r="BE97" s="28" t="n">
        <x:f>(BC97+BD97)/2</x:f>
        <x:v>0</x:v>
      </x:c>
      <x:c r="BF97" s="28" t="n">
        <x:f>BE97*IF($B97="rate",$D97,IF($C97="rate",$E97,'參數'!$C$34))</x:f>
        <x:v>0</x:v>
      </x:c>
      <x:c r="BG97" s="28" t="n">
        <x:f>IF($B97="nonop",$D97,IF($C97="nonop",$E97,'參數'!$C$36))</x:f>
        <x:v>0.02</x:v>
      </x:c>
      <x:c r="BH97" s="28" t="n">
        <x:f>BA97+BG97-BF97</x:f>
        <x:v>0.2859999999999993</x:v>
      </x:c>
      <x:c r="BI97" s="28" t="n">
        <x:f>MAX(0,BH97)*IF($B97="tax",$D97,IF($C97="tax",$E97,'參數'!$C$35))</x:f>
        <x:v>0.05719999999999986</x:v>
      </x:c>
      <x:c r="BJ97" s="28" t="n">
        <x:f>BH97-BI97</x:f>
        <x:v>0.22879999999999945</x:v>
      </x:c>
      <x:c r="BK97" s="29" t="n">
        <x:f>IF(AM97=0,0,BJ97/AM97)</x:f>
        <x:v>0.03813333333333324</x:v>
      </x:c>
      <x:c r="BL97" s="28" t="n">
        <x:f>IF(BJ97&gt;=0,BJ97*IF($B97="retain",$D97,IF($C97="retain",$E97,'參數'!$C$38)),BJ97)</x:f>
        <x:v>0.11439999999999972</x:v>
      </x:c>
      <x:c r="BM97" s="28" t="n">
        <x:f>AJ97+BL97</x:f>
        <x:v>1.1143999999999998</x:v>
      </x:c>
      <x:c r="BN97" s="28" t="n">
        <x:f>MAX(0,AB97-AC97)</x:f>
        <x:v>4</x:v>
      </x:c>
      <x:c r="BO97" s="28" t="n">
        <x:f>MAX(0,MIN(AB97,AC97)-AM97)</x:f>
        <x:v>0</x:v>
      </x:c>
    </x:row>
    <x:row r="98" ht="24" customHeight="1">
      <x:c r="A98" s="2" t="str">
        <x:v>雙因子1/2</x:v>
      </x:c>
      <x:c r="B98" s="2" t="str">
        <x:v>capacity</x:v>
      </x:c>
      <x:c r="C98" s="2" t="str">
        <x:v>shock</x:v>
      </x:c>
      <x:c r="D98" s="11" t="n">
        <x:f>'雙因子敏感性'!C$6</x:f>
        <x:v>8</x:v>
      </x:c>
      <x:c r="E98" s="11" t="n">
        <x:f>'參數'!C26+'雙因子敏感性'!$A7</x:f>
        <x:v>-0.03</x:v>
      </x:c>
      <x:c r="F98" s="11" t="n">
        <x:f>'參數'!$C$47</x:f>
        <x:v>0</x:v>
      </x:c>
      <x:c r="G98" s="11" t="n">
        <x:f>'參數'!$C$48</x:f>
        <x:v>0</x:v>
      </x:c>
      <x:c r="H98" s="11" t="n">
        <x:f>'參數'!$C$49</x:f>
        <x:v>0</x:v>
      </x:c>
      <x:c r="I98" s="11" t="n">
        <x:f>F98+IF($B98="pE",$D98,IF($C98="pE",$E98,'參數'!$C$5))*IF($B98="scale",$D98,IF($C98="scale",$E98,'參數'!$C$8))</x:f>
        <x:v>10</x:v>
      </x:c>
      <x:c r="J98" s="11" t="n">
        <x:f>G98+IF($B98="pM",$D98,IF($C98="pM",$E98,'參數'!$C$6))*IF($B98="scale",$D98,IF($C98="scale",$E98,'參數'!$C$8))</x:f>
        <x:v>15</x:v>
      </x:c>
      <x:c r="K98" s="11" t="n">
        <x:f>H98+IF($B98="pA",$D98,IF($C98="pA",$E98,'參數'!$C$7))*IF($B98="scale",$D98,IF($C98="scale",$E98,'參數'!$C$8))</x:f>
        <x:v>50</x:v>
      </x:c>
      <x:c r="L98" s="11" t="n">
        <x:f>I98*IF($B98="winE",$D98,IF($C98="winE",$E98,'參數'!$C$9))</x:f>
        <x:v>4</x:v>
      </x:c>
      <x:c r="M98" s="28" t="n">
        <x:f>J98*IF($B98="winM",$D98,IF($C98="winM",$E98,'參數'!$C$10))</x:f>
        <x:v>6</x:v>
      </x:c>
      <x:c r="N98" s="28" t="n">
        <x:f>MIN(K98,IF($B98="readyA",$D98,IF($C98="readyA",$E98,'參數'!$C$11))*IF($B98="gateA",$D98,IF($C98="gateA",$E98,'參數'!$C$12)))</x:f>
        <x:v>10</x:v>
      </x:c>
      <x:c r="O98" s="28" t="n">
        <x:f>L98+M98+N98</x:f>
        <x:v>20</x:v>
      </x:c>
      <x:c r="P98" s="28" t="n">
        <x:f>(I98-L98)*IF($B98="attrition",$D98,IF($C98="attrition",$E98,'參數'!$C$13))</x:f>
        <x:v>1.2000000000000002</x:v>
      </x:c>
      <x:c r="Q98" s="28" t="n">
        <x:f>(J98-M98)*IF($B98="attrition",$D98,IF($C98="attrition",$E98,'參數'!$C$13))</x:f>
        <x:v>1.8</x:v>
      </x:c>
      <x:c r="R98" s="28" t="n">
        <x:f>(K98-N98)*IF($B98="attrition",$D98,IF($C98="attrition",$E98,'參數'!$C$13))</x:f>
        <x:v>8</x:v>
      </x:c>
      <x:c r="S98" s="28" t="n">
        <x:f>I98-L98-P98</x:f>
        <x:v>4.8</x:v>
      </x:c>
      <x:c r="T98" s="28" t="n">
        <x:f>J98-M98-Q98</x:f>
        <x:v>7.2</x:v>
      </x:c>
      <x:c r="U98" s="28" t="n">
        <x:f>K98-N98-R98</x:f>
        <x:v>32</x:v>
      </x:c>
      <x:c r="V98" s="28" t="n">
        <x:f>'參數'!$C$44</x:f>
        <x:v>0</x:v>
      </x:c>
      <x:c r="W98" s="28" t="n">
        <x:f>'參數'!$C$45</x:f>
        <x:v>0</x:v>
      </x:c>
      <x:c r="X98" s="28" t="n">
        <x:f>'參數'!$C$46</x:f>
        <x:v>0</x:v>
      </x:c>
      <x:c r="Y98" s="28" t="n">
        <x:f>V98*IF($B98="relE",$D98,IF($C98="relE",$E98,'參數'!$C$17))+L98*IF($B98="nowE",$D98,IF($C98="nowE",$E98,'參數'!$C$14))</x:f>
        <x:v>4</x:v>
      </x:c>
      <x:c r="Z98" s="28" t="n">
        <x:f>W98*IF($B98="relM",$D98,IF($C98="relM",$E98,'參數'!$C$18))+M98*IF($B98="nowM",$D98,IF($C98="nowM",$E98,'參數'!$C$15))</x:f>
        <x:v>6</x:v>
      </x:c>
      <x:c r="AA98" s="28" t="n">
        <x:f>X98*IF($B98="relA",$D98,IF($C98="relA",$E98,'參數'!$C$19))+N98*IF($B98="nowA",$D98,IF($C98="nowA",$E98,'參數'!$C$16))</x:f>
        <x:v>0</x:v>
      </x:c>
      <x:c r="AB98" s="28" t="n">
        <x:f>Y98+Z98+AA98</x:f>
        <x:v>10</x:v>
      </x:c>
      <x:c r="AC98" s="28" t="n">
        <x:f>IF($B98="capacity",$D98,IF($C98="capacity",$E98,'參數'!$C$20))</x:f>
        <x:v>8</x:v>
      </x:c>
      <x:c r="AD98" s="28" t="n">
        <x:f>IF(AC98=0,0,AB98/AC98)</x:f>
        <x:v>1.25</x:v>
      </x:c>
      <x:c r="AE98" s="29" t="n">
        <x:f>MAX(0,AD98-1)*IF($B98="congestion",$D98,IF($C98="congestion",$E98,'參數'!$C$28))</x:f>
        <x:v>0.0025</x:v>
      </x:c>
      <x:c r="AF98" s="29" t="n">
        <x:f>1-(1-(IF($B98="gmE",$D98,IF($C98="gmE",$E98,'參數'!$C$21))+IF($B98="shock",$D98,IF($C98="shock",$E98,'參數'!$C$26))))*(1+IF($B98="inflation",$D98,IF($C98="inflation",$E98,'參數'!$C$27)))-AE98</x:f>
        <x:v>0.08749999999999997</x:v>
      </x:c>
      <x:c r="AG98" s="29" t="n">
        <x:f>1-(1-(IF($B98="gmM",$D98,IF($C98="gmM",$E98,'參數'!$C$22))+IF($B98="dev",$D98,IF($C98="dev",$E98,'參數'!$C$23))*IF($B98="devReal",$D98,IF($C98="devReal",$E98,'參數'!$C$24))+IF($B98="shock",$D98,IF($C98="shock",$E98,'參數'!$C$26))))*(1+IF($B98="inflation",$D98,IF($C98="inflation",$E98,'參數'!$C$27)))-AE98</x:f>
        <x:v>0.14750000000000002</x:v>
      </x:c>
      <x:c r="AH98" s="29" t="n">
        <x:f>1-(1-(IF($B98="gmA",$D98,IF($C98="gmA",$E98,'參數'!$C$25))+IF($B98="shock",$D98,IF($C98="shock",$E98,'參數'!$C$26))))*(1+IF($B98="inflation",$D98,IF($C98="inflation",$E98,'參數'!$C$27)))-AE98</x:f>
        <x:v>0.1275</x:v>
      </x:c>
      <x:c r="AI98" s="29" t="n">
        <x:f>IF(AB98=0,0,(Y98*AF98+Z98*AG98+AA98*AH98)/AB98)</x:f>
        <x:v>0.12349999999999998</x:v>
      </x:c>
      <x:c r="AJ98" s="28" t="n">
        <x:f>'參數'!$C$43</x:f>
        <x:v>1</x:v>
      </x:c>
      <x:c r="AK98" s="28" t="n">
        <x:f>MAX(0,(IF($B98="dso",$D98,IF($C98="dso",$E98,'參數'!$C$32))-(1-AI98)*IF($B98="dpo",$D98,IF($C98="dpo",$E98,'參數'!$C$33)))/365)</x:f>
        <x:v>0.10249315068493149</x:v>
      </x:c>
      <x:c r="AL98" s="28" t="n">
        <x:f>IF(AK98=0,AB98,(MAX(0,AJ98)+IF($B98="credit",$D98,IF($C98="credit",$E98,'參數'!$C$37)))/AK98)</x:f>
        <x:v>39.026998128842564</x:v>
      </x:c>
      <x:c r="AM98" s="28" t="n">
        <x:f>MIN(AB98,AC98,AL98)</x:f>
        <x:v>8</x:v>
      </x:c>
      <x:c r="AN98" s="28" t="n">
        <x:f>IF(AB98=0,0,AM98*Y98/AB98)</x:f>
        <x:v>3.2</x:v>
      </x:c>
      <x:c r="AO98" s="28" t="n">
        <x:f>IF(AB98=0,0,AM98*Z98/AB98)</x:f>
        <x:v>4.8</x:v>
      </x:c>
      <x:c r="AP98" s="28" t="n">
        <x:f>IF(AB98=0,0,AM98*AA98/AB98)</x:f>
        <x:v>0</x:v>
      </x:c>
      <x:c r="AQ98" s="28" t="n">
        <x:f>V98+L98-AN98</x:f>
        <x:v>0.7999999999999998</x:v>
      </x:c>
      <x:c r="AR98" s="28" t="n">
        <x:f>W98+M98-AO98</x:f>
        <x:v>1.2000000000000002</x:v>
      </x:c>
      <x:c r="AS98" s="28" t="n">
        <x:f>X98+N98-AP98</x:f>
        <x:v>10</x:v>
      </x:c>
      <x:c r="AT98" s="28" t="n">
        <x:f>AQ98+AR98+AS98</x:f>
        <x:v>12</x:v>
      </x:c>
      <x:c r="AU98" s="28" t="n">
        <x:f>AN98*(1-AF98)+AO98*(1-AG98)+AP98*(1-AH98)</x:f>
        <x:v>7.0120000000000005</x:v>
      </x:c>
      <x:c r="AV98" s="28" t="n">
        <x:f>AM98-AU98</x:f>
        <x:v>0.9879999999999995</x:v>
      </x:c>
      <x:c r="AW98" s="29" t="n">
        <x:f>IF(AM98=0,0,AV98/AM98)</x:f>
        <x:v>0.12349999999999994</x:v>
      </x:c>
      <x:c r="AX98" s="28" t="n">
        <x:f>IF($B98="head",$D98,IF($C98="head",$E98,'參數'!$C$29))*IF($B98="wage",$D98,IF($C98="wage",$E98,'參數'!$C$30))</x:f>
        <x:v>0.22</x:v>
      </x:c>
      <x:c r="AY98" s="28" t="n">
        <x:f>IF($B98="opex",$D98,IF($C98="opex",$E98,'參數'!$C$31))</x:f>
        <x:v>0.23</x:v>
      </x:c>
      <x:c r="AZ98" s="28" t="n">
        <x:f>AX98+AY98</x:f>
        <x:v>0.45</x:v>
      </x:c>
      <x:c r="BA98" s="28" t="n">
        <x:f>AV98-AZ98</x:f>
        <x:v>0.5379999999999996</x:v>
      </x:c>
      <x:c r="BB98" s="28" t="n">
        <x:f>AM98*AK98</x:f>
        <x:v>0.8199452054794519</x:v>
      </x:c>
      <x:c r="BC98" s="28" t="n">
        <x:f>0</x:f>
        <x:v>0</x:v>
      </x:c>
      <x:c r="BD98" s="28" t="n">
        <x:f>MAX(0,BB98-MAX(0,AJ98))</x:f>
        <x:v>0</x:v>
      </x:c>
      <x:c r="BE98" s="28" t="n">
        <x:f>(BC98+BD98)/2</x:f>
        <x:v>0</x:v>
      </x:c>
      <x:c r="BF98" s="28" t="n">
        <x:f>BE98*IF($B98="rate",$D98,IF($C98="rate",$E98,'參數'!$C$34))</x:f>
        <x:v>0</x:v>
      </x:c>
      <x:c r="BG98" s="28" t="n">
        <x:f>IF($B98="nonop",$D98,IF($C98="nonop",$E98,'參數'!$C$36))</x:f>
        <x:v>0.02</x:v>
      </x:c>
      <x:c r="BH98" s="28" t="n">
        <x:f>BA98+BG98-BF98</x:f>
        <x:v>0.5579999999999996</x:v>
      </x:c>
      <x:c r="BI98" s="28" t="n">
        <x:f>MAX(0,BH98)*IF($B98="tax",$D98,IF($C98="tax",$E98,'參數'!$C$35))</x:f>
        <x:v>0.11159999999999992</x:v>
      </x:c>
      <x:c r="BJ98" s="28" t="n">
        <x:f>BH98-BI98</x:f>
        <x:v>0.4463999999999997</x:v>
      </x:c>
      <x:c r="BK98" s="29" t="n">
        <x:f>IF(AM98=0,0,BJ98/AM98)</x:f>
        <x:v>0.05579999999999996</x:v>
      </x:c>
      <x:c r="BL98" s="28" t="n">
        <x:f>IF(BJ98&gt;=0,BJ98*IF($B98="retain",$D98,IF($C98="retain",$E98,'參數'!$C$38)),BJ98)</x:f>
        <x:v>0.22319999999999984</x:v>
      </x:c>
      <x:c r="BM98" s="28" t="n">
        <x:f>AJ98+BL98</x:f>
        <x:v>1.2231999999999998</x:v>
      </x:c>
      <x:c r="BN98" s="28" t="n">
        <x:f>MAX(0,AB98-AC98)</x:f>
        <x:v>2</x:v>
      </x:c>
      <x:c r="BO98" s="28" t="n">
        <x:f>MAX(0,MIN(AB98,AC98)-AM98)</x:f>
        <x:v>0</x:v>
      </x:c>
    </x:row>
    <x:row r="99" ht="24" customHeight="1">
      <x:c r="A99" s="2" t="str">
        <x:v>雙因子1/3</x:v>
      </x:c>
      <x:c r="B99" s="2" t="str">
        <x:v>capacity</x:v>
      </x:c>
      <x:c r="C99" s="2" t="str">
        <x:v>shock</x:v>
      </x:c>
      <x:c r="D99" s="11" t="n">
        <x:f>'雙因子敏感性'!D$6</x:f>
        <x:v>10</x:v>
      </x:c>
      <x:c r="E99" s="11" t="n">
        <x:f>'參數'!C26+'雙因子敏感性'!$A7</x:f>
        <x:v>-0.03</x:v>
      </x:c>
      <x:c r="F99" s="11" t="n">
        <x:f>'參數'!$C$47</x:f>
        <x:v>0</x:v>
      </x:c>
      <x:c r="G99" s="11" t="n">
        <x:f>'參數'!$C$48</x:f>
        <x:v>0</x:v>
      </x:c>
      <x:c r="H99" s="11" t="n">
        <x:f>'參數'!$C$49</x:f>
        <x:v>0</x:v>
      </x:c>
      <x:c r="I99" s="11" t="n">
        <x:f>F99+IF($B99="pE",$D99,IF($C99="pE",$E99,'參數'!$C$5))*IF($B99="scale",$D99,IF($C99="scale",$E99,'參數'!$C$8))</x:f>
        <x:v>10</x:v>
      </x:c>
      <x:c r="J99" s="11" t="n">
        <x:f>G99+IF($B99="pM",$D99,IF($C99="pM",$E99,'參數'!$C$6))*IF($B99="scale",$D99,IF($C99="scale",$E99,'參數'!$C$8))</x:f>
        <x:v>15</x:v>
      </x:c>
      <x:c r="K99" s="11" t="n">
        <x:f>H99+IF($B99="pA",$D99,IF($C99="pA",$E99,'參數'!$C$7))*IF($B99="scale",$D99,IF($C99="scale",$E99,'參數'!$C$8))</x:f>
        <x:v>50</x:v>
      </x:c>
      <x:c r="L99" s="11" t="n">
        <x:f>I99*IF($B99="winE",$D99,IF($C99="winE",$E99,'參數'!$C$9))</x:f>
        <x:v>4</x:v>
      </x:c>
      <x:c r="M99" s="28" t="n">
        <x:f>J99*IF($B99="winM",$D99,IF($C99="winM",$E99,'參數'!$C$10))</x:f>
        <x:v>6</x:v>
      </x:c>
      <x:c r="N99" s="28" t="n">
        <x:f>MIN(K99,IF($B99="readyA",$D99,IF($C99="readyA",$E99,'參數'!$C$11))*IF($B99="gateA",$D99,IF($C99="gateA",$E99,'參數'!$C$12)))</x:f>
        <x:v>10</x:v>
      </x:c>
      <x:c r="O99" s="28" t="n">
        <x:f>L99+M99+N99</x:f>
        <x:v>20</x:v>
      </x:c>
      <x:c r="P99" s="28" t="n">
        <x:f>(I99-L99)*IF($B99="attrition",$D99,IF($C99="attrition",$E99,'參數'!$C$13))</x:f>
        <x:v>1.2000000000000002</x:v>
      </x:c>
      <x:c r="Q99" s="28" t="n">
        <x:f>(J99-M99)*IF($B99="attrition",$D99,IF($C99="attrition",$E99,'參數'!$C$13))</x:f>
        <x:v>1.8</x:v>
      </x:c>
      <x:c r="R99" s="28" t="n">
        <x:f>(K99-N99)*IF($B99="attrition",$D99,IF($C99="attrition",$E99,'參數'!$C$13))</x:f>
        <x:v>8</x:v>
      </x:c>
      <x:c r="S99" s="28" t="n">
        <x:f>I99-L99-P99</x:f>
        <x:v>4.8</x:v>
      </x:c>
      <x:c r="T99" s="28" t="n">
        <x:f>J99-M99-Q99</x:f>
        <x:v>7.2</x:v>
      </x:c>
      <x:c r="U99" s="28" t="n">
        <x:f>K99-N99-R99</x:f>
        <x:v>32</x:v>
      </x:c>
      <x:c r="V99" s="28" t="n">
        <x:f>'參數'!$C$44</x:f>
        <x:v>0</x:v>
      </x:c>
      <x:c r="W99" s="28" t="n">
        <x:f>'參數'!$C$45</x:f>
        <x:v>0</x:v>
      </x:c>
      <x:c r="X99" s="28" t="n">
        <x:f>'參數'!$C$46</x:f>
        <x:v>0</x:v>
      </x:c>
      <x:c r="Y99" s="28" t="n">
        <x:f>V99*IF($B99="relE",$D99,IF($C99="relE",$E99,'參數'!$C$17))+L99*IF($B99="nowE",$D99,IF($C99="nowE",$E99,'參數'!$C$14))</x:f>
        <x:v>4</x:v>
      </x:c>
      <x:c r="Z99" s="28" t="n">
        <x:f>W99*IF($B99="relM",$D99,IF($C99="relM",$E99,'參數'!$C$18))+M99*IF($B99="nowM",$D99,IF($C99="nowM",$E99,'參數'!$C$15))</x:f>
        <x:v>6</x:v>
      </x:c>
      <x:c r="AA99" s="28" t="n">
        <x:f>X99*IF($B99="relA",$D99,IF($C99="relA",$E99,'參數'!$C$19))+N99*IF($B99="nowA",$D99,IF($C99="nowA",$E99,'參數'!$C$16))</x:f>
        <x:v>0</x:v>
      </x:c>
      <x:c r="AB99" s="28" t="n">
        <x:f>Y99+Z99+AA99</x:f>
        <x:v>10</x:v>
      </x:c>
      <x:c r="AC99" s="28" t="n">
        <x:f>IF($B99="capacity",$D99,IF($C99="capacity",$E99,'參數'!$C$20))</x:f>
        <x:v>10</x:v>
      </x:c>
      <x:c r="AD99" s="28" t="n">
        <x:f>IF(AC99=0,0,AB99/AC99)</x:f>
        <x:v>1</x:v>
      </x:c>
      <x:c r="AE99" s="29" t="n">
        <x:f>MAX(0,AD99-1)*IF($B99="congestion",$D99,IF($C99="congestion",$E99,'參數'!$C$28))</x:f>
        <x:v>0</x:v>
      </x:c>
      <x:c r="AF99" s="29" t="n">
        <x:f>1-(1-(IF($B99="gmE",$D99,IF($C99="gmE",$E99,'參數'!$C$21))+IF($B99="shock",$D99,IF($C99="shock",$E99,'參數'!$C$26))))*(1+IF($B99="inflation",$D99,IF($C99="inflation",$E99,'參數'!$C$27)))-AE99</x:f>
        <x:v>0.08999999999999997</x:v>
      </x:c>
      <x:c r="AG99" s="29" t="n">
        <x:f>1-(1-(IF($B99="gmM",$D99,IF($C99="gmM",$E99,'參數'!$C$22))+IF($B99="dev",$D99,IF($C99="dev",$E99,'參數'!$C$23))*IF($B99="devReal",$D99,IF($C99="devReal",$E99,'參數'!$C$24))+IF($B99="shock",$D99,IF($C99="shock",$E99,'參數'!$C$26))))*(1+IF($B99="inflation",$D99,IF($C99="inflation",$E99,'參數'!$C$27)))-AE99</x:f>
        <x:v>0.15000000000000002</x:v>
      </x:c>
      <x:c r="AH99" s="29" t="n">
        <x:f>1-(1-(IF($B99="gmA",$D99,IF($C99="gmA",$E99,'參數'!$C$25))+IF($B99="shock",$D99,IF($C99="shock",$E99,'參數'!$C$26))))*(1+IF($B99="inflation",$D99,IF($C99="inflation",$E99,'參數'!$C$27)))-AE99</x:f>
        <x:v>0.13</x:v>
      </x:c>
      <x:c r="AI99" s="29" t="n">
        <x:f>IF(AB99=0,0,(Y99*AF99+Z99*AG99+AA99*AH99)/AB99)</x:f>
        <x:v>0.126</x:v>
      </x:c>
      <x:c r="AJ99" s="28" t="n">
        <x:f>'參數'!$C$43</x:f>
        <x:v>1</x:v>
      </x:c>
      <x:c r="AK99" s="28" t="n">
        <x:f>MAX(0,(IF($B99="dso",$D99,IF($C99="dso",$E99,'參數'!$C$32))-(1-AI99)*IF($B99="dpo",$D99,IF($C99="dpo",$E99,'參數'!$C$33)))/365)</x:f>
        <x:v>0.1029041095890411</x:v>
      </x:c>
      <x:c r="AL99" s="28" t="n">
        <x:f>IF(AK99=0,AB99,(MAX(0,AJ99)+IF($B99="credit",$D99,IF($C99="credit",$E99,'參數'!$C$37)))/AK99)</x:f>
        <x:v>38.871139510117146</x:v>
      </x:c>
      <x:c r="AM99" s="28" t="n">
        <x:f>MIN(AB99,AC99,AL99)</x:f>
        <x:v>10</x:v>
      </x:c>
      <x:c r="AN99" s="28" t="n">
        <x:f>IF(AB99=0,0,AM99*Y99/AB99)</x:f>
        <x:v>4</x:v>
      </x:c>
      <x:c r="AO99" s="28" t="n">
        <x:f>IF(AB99=0,0,AM99*Z99/AB99)</x:f>
        <x:v>6</x:v>
      </x:c>
      <x:c r="AP99" s="28" t="n">
        <x:f>IF(AB99=0,0,AM99*AA99/AB99)</x:f>
        <x:v>0</x:v>
      </x:c>
      <x:c r="AQ99" s="28" t="n">
        <x:f>V99+L99-AN99</x:f>
        <x:v>0</x:v>
      </x:c>
      <x:c r="AR99" s="28" t="n">
        <x:f>W99+M99-AO99</x:f>
        <x:v>0</x:v>
      </x:c>
      <x:c r="AS99" s="28" t="n">
        <x:f>X99+N99-AP99</x:f>
        <x:v>10</x:v>
      </x:c>
      <x:c r="AT99" s="28" t="n">
        <x:f>AQ99+AR99+AS99</x:f>
        <x:v>10</x:v>
      </x:c>
      <x:c r="AU99" s="28" t="n">
        <x:f>AN99*(1-AF99)+AO99*(1-AG99)+AP99*(1-AH99)</x:f>
        <x:v>8.74</x:v>
      </x:c>
      <x:c r="AV99" s="28" t="n">
        <x:f>AM99-AU99</x:f>
        <x:v>1.2599999999999998</x:v>
      </x:c>
      <x:c r="AW99" s="29" t="n">
        <x:f>IF(AM99=0,0,AV99/AM99)</x:f>
        <x:v>0.12599999999999997</x:v>
      </x:c>
      <x:c r="AX99" s="28" t="n">
        <x:f>IF($B99="head",$D99,IF($C99="head",$E99,'參數'!$C$29))*IF($B99="wage",$D99,IF($C99="wage",$E99,'參數'!$C$30))</x:f>
        <x:v>0.22</x:v>
      </x:c>
      <x:c r="AY99" s="28" t="n">
        <x:f>IF($B99="opex",$D99,IF($C99="opex",$E99,'參數'!$C$31))</x:f>
        <x:v>0.23</x:v>
      </x:c>
      <x:c r="AZ99" s="28" t="n">
        <x:f>AX99+AY99</x:f>
        <x:v>0.45</x:v>
      </x:c>
      <x:c r="BA99" s="28" t="n">
        <x:f>AV99-AZ99</x:f>
        <x:v>0.8099999999999998</x:v>
      </x:c>
      <x:c r="BB99" s="28" t="n">
        <x:f>AM99*AK99</x:f>
        <x:v>1.029041095890411</x:v>
      </x:c>
      <x:c r="BC99" s="28" t="n">
        <x:f>0</x:f>
        <x:v>0</x:v>
      </x:c>
      <x:c r="BD99" s="28" t="n">
        <x:f>MAX(0,BB99-MAX(0,AJ99))</x:f>
        <x:v>0.02904109589041104</x:v>
      </x:c>
      <x:c r="BE99" s="28" t="n">
        <x:f>(BC99+BD99)/2</x:f>
        <x:v>0.01452054794520552</x:v>
      </x:c>
      <x:c r="BF99" s="28" t="n">
        <x:f>BE99*IF($B99="rate",$D99,IF($C99="rate",$E99,'參數'!$C$34))</x:f>
        <x:v>0.0005808219178082208</x:v>
      </x:c>
      <x:c r="BG99" s="28" t="n">
        <x:f>IF($B99="nonop",$D99,IF($C99="nonop",$E99,'參數'!$C$36))</x:f>
        <x:v>0.02</x:v>
      </x:c>
      <x:c r="BH99" s="28" t="n">
        <x:f>BA99+BG99-BF99</x:f>
        <x:v>0.8294191780821917</x:v>
      </x:c>
      <x:c r="BI99" s="28" t="n">
        <x:f>MAX(0,BH99)*IF($B99="tax",$D99,IF($C99="tax",$E99,'參數'!$C$35))</x:f>
        <x:v>0.16588383561643835</x:v>
      </x:c>
      <x:c r="BJ99" s="28" t="n">
        <x:f>BH99-BI99</x:f>
        <x:v>0.6635353424657533</x:v>
      </x:c>
      <x:c r="BK99" s="29" t="n">
        <x:f>IF(AM99=0,0,BJ99/AM99)</x:f>
        <x:v>0.06635353424657534</x:v>
      </x:c>
      <x:c r="BL99" s="28" t="n">
        <x:f>IF(BJ99&gt;=0,BJ99*IF($B99="retain",$D99,IF($C99="retain",$E99,'參數'!$C$38)),BJ99)</x:f>
        <x:v>0.33176767123287665</x:v>
      </x:c>
      <x:c r="BM99" s="28" t="n">
        <x:f>AJ99+BL99</x:f>
        <x:v>1.3317676712328765</x:v>
      </x:c>
      <x:c r="BN99" s="28" t="n">
        <x:f>MAX(0,AB99-AC99)</x:f>
        <x:v>0</x:v>
      </x:c>
      <x:c r="BO99" s="28" t="n">
        <x:f>MAX(0,MIN(AB99,AC99)-AM99)</x:f>
        <x:v>0</x:v>
      </x:c>
    </x:row>
    <x:row r="100" ht="24" customHeight="1">
      <x:c r="A100" s="2" t="str">
        <x:v>雙因子1/4</x:v>
      </x:c>
      <x:c r="B100" s="2" t="str">
        <x:v>capacity</x:v>
      </x:c>
      <x:c r="C100" s="2" t="str">
        <x:v>shock</x:v>
      </x:c>
      <x:c r="D100" s="11" t="n">
        <x:f>'雙因子敏感性'!E$6</x:f>
        <x:v>12</x:v>
      </x:c>
      <x:c r="E100" s="11" t="n">
        <x:f>'參數'!C26+'雙因子敏感性'!$A7</x:f>
        <x:v>-0.03</x:v>
      </x:c>
      <x:c r="F100" s="11" t="n">
        <x:f>'參數'!$C$47</x:f>
        <x:v>0</x:v>
      </x:c>
      <x:c r="G100" s="11" t="n">
        <x:f>'參數'!$C$48</x:f>
        <x:v>0</x:v>
      </x:c>
      <x:c r="H100" s="11" t="n">
        <x:f>'參數'!$C$49</x:f>
        <x:v>0</x:v>
      </x:c>
      <x:c r="I100" s="11" t="n">
        <x:f>F100+IF($B100="pE",$D100,IF($C100="pE",$E100,'參數'!$C$5))*IF($B100="scale",$D100,IF($C100="scale",$E100,'參數'!$C$8))</x:f>
        <x:v>10</x:v>
      </x:c>
      <x:c r="J100" s="11" t="n">
        <x:f>G100+IF($B100="pM",$D100,IF($C100="pM",$E100,'參數'!$C$6))*IF($B100="scale",$D100,IF($C100="scale",$E100,'參數'!$C$8))</x:f>
        <x:v>15</x:v>
      </x:c>
      <x:c r="K100" s="11" t="n">
        <x:f>H100+IF($B100="pA",$D100,IF($C100="pA",$E100,'參數'!$C$7))*IF($B100="scale",$D100,IF($C100="scale",$E100,'參數'!$C$8))</x:f>
        <x:v>50</x:v>
      </x:c>
      <x:c r="L100" s="11" t="n">
        <x:f>I100*IF($B100="winE",$D100,IF($C100="winE",$E100,'參數'!$C$9))</x:f>
        <x:v>4</x:v>
      </x:c>
      <x:c r="M100" s="28" t="n">
        <x:f>J100*IF($B100="winM",$D100,IF($C100="winM",$E100,'參數'!$C$10))</x:f>
        <x:v>6</x:v>
      </x:c>
      <x:c r="N100" s="28" t="n">
        <x:f>MIN(K100,IF($B100="readyA",$D100,IF($C100="readyA",$E100,'參數'!$C$11))*IF($B100="gateA",$D100,IF($C100="gateA",$E100,'參數'!$C$12)))</x:f>
        <x:v>10</x:v>
      </x:c>
      <x:c r="O100" s="28" t="n">
        <x:f>L100+M100+N100</x:f>
        <x:v>20</x:v>
      </x:c>
      <x:c r="P100" s="28" t="n">
        <x:f>(I100-L100)*IF($B100="attrition",$D100,IF($C100="attrition",$E100,'參數'!$C$13))</x:f>
        <x:v>1.2000000000000002</x:v>
      </x:c>
      <x:c r="Q100" s="28" t="n">
        <x:f>(J100-M100)*IF($B100="attrition",$D100,IF($C100="attrition",$E100,'參數'!$C$13))</x:f>
        <x:v>1.8</x:v>
      </x:c>
      <x:c r="R100" s="28" t="n">
        <x:f>(K100-N100)*IF($B100="attrition",$D100,IF($C100="attrition",$E100,'參數'!$C$13))</x:f>
        <x:v>8</x:v>
      </x:c>
      <x:c r="S100" s="28" t="n">
        <x:f>I100-L100-P100</x:f>
        <x:v>4.8</x:v>
      </x:c>
      <x:c r="T100" s="28" t="n">
        <x:f>J100-M100-Q100</x:f>
        <x:v>7.2</x:v>
      </x:c>
      <x:c r="U100" s="28" t="n">
        <x:f>K100-N100-R100</x:f>
        <x:v>32</x:v>
      </x:c>
      <x:c r="V100" s="28" t="n">
        <x:f>'參數'!$C$44</x:f>
        <x:v>0</x:v>
      </x:c>
      <x:c r="W100" s="28" t="n">
        <x:f>'參數'!$C$45</x:f>
        <x:v>0</x:v>
      </x:c>
      <x:c r="X100" s="28" t="n">
        <x:f>'參數'!$C$46</x:f>
        <x:v>0</x:v>
      </x:c>
      <x:c r="Y100" s="28" t="n">
        <x:f>V100*IF($B100="relE",$D100,IF($C100="relE",$E100,'參數'!$C$17))+L100*IF($B100="nowE",$D100,IF($C100="nowE",$E100,'參數'!$C$14))</x:f>
        <x:v>4</x:v>
      </x:c>
      <x:c r="Z100" s="28" t="n">
        <x:f>W100*IF($B100="relM",$D100,IF($C100="relM",$E100,'參數'!$C$18))+M100*IF($B100="nowM",$D100,IF($C100="nowM",$E100,'參數'!$C$15))</x:f>
        <x:v>6</x:v>
      </x:c>
      <x:c r="AA100" s="28" t="n">
        <x:f>X100*IF($B100="relA",$D100,IF($C100="relA",$E100,'參數'!$C$19))+N100*IF($B100="nowA",$D100,IF($C100="nowA",$E100,'參數'!$C$16))</x:f>
        <x:v>0</x:v>
      </x:c>
      <x:c r="AB100" s="28" t="n">
        <x:f>Y100+Z100+AA100</x:f>
        <x:v>10</x:v>
      </x:c>
      <x:c r="AC100" s="28" t="n">
        <x:f>IF($B100="capacity",$D100,IF($C100="capacity",$E100,'參數'!$C$20))</x:f>
        <x:v>12</x:v>
      </x:c>
      <x:c r="AD100" s="28" t="n">
        <x:f>IF(AC100=0,0,AB100/AC100)</x:f>
        <x:v>0.8333333333333334</x:v>
      </x:c>
      <x:c r="AE100" s="29" t="n">
        <x:f>MAX(0,AD100-1)*IF($B100="congestion",$D100,IF($C100="congestion",$E100,'參數'!$C$28))</x:f>
        <x:v>0</x:v>
      </x:c>
      <x:c r="AF100" s="29" t="n">
        <x:f>1-(1-(IF($B100="gmE",$D100,IF($C100="gmE",$E100,'參數'!$C$21))+IF($B100="shock",$D100,IF($C100="shock",$E100,'參數'!$C$26))))*(1+IF($B100="inflation",$D100,IF($C100="inflation",$E100,'參數'!$C$27)))-AE100</x:f>
        <x:v>0.08999999999999997</x:v>
      </x:c>
      <x:c r="AG100" s="29" t="n">
        <x:f>1-(1-(IF($B100="gmM",$D100,IF($C100="gmM",$E100,'參數'!$C$22))+IF($B100="dev",$D100,IF($C100="dev",$E100,'參數'!$C$23))*IF($B100="devReal",$D100,IF($C100="devReal",$E100,'參數'!$C$24))+IF($B100="shock",$D100,IF($C100="shock",$E100,'參數'!$C$26))))*(1+IF($B100="inflation",$D100,IF($C100="inflation",$E100,'參數'!$C$27)))-AE100</x:f>
        <x:v>0.15000000000000002</x:v>
      </x:c>
      <x:c r="AH100" s="29" t="n">
        <x:f>1-(1-(IF($B100="gmA",$D100,IF($C100="gmA",$E100,'參數'!$C$25))+IF($B100="shock",$D100,IF($C100="shock",$E100,'參數'!$C$26))))*(1+IF($B100="inflation",$D100,IF($C100="inflation",$E100,'參數'!$C$27)))-AE100</x:f>
        <x:v>0.13</x:v>
      </x:c>
      <x:c r="AI100" s="29" t="n">
        <x:f>IF(AB100=0,0,(Y100*AF100+Z100*AG100+AA100*AH100)/AB100)</x:f>
        <x:v>0.126</x:v>
      </x:c>
      <x:c r="AJ100" s="28" t="n">
        <x:f>'參數'!$C$43</x:f>
        <x:v>1</x:v>
      </x:c>
      <x:c r="AK100" s="28" t="n">
        <x:f>MAX(0,(IF($B100="dso",$D100,IF($C100="dso",$E100,'參數'!$C$32))-(1-AI100)*IF($B100="dpo",$D100,IF($C100="dpo",$E100,'參數'!$C$33)))/365)</x:f>
        <x:v>0.1029041095890411</x:v>
      </x:c>
      <x:c r="AL100" s="28" t="n">
        <x:f>IF(AK100=0,AB100,(MAX(0,AJ100)+IF($B100="credit",$D100,IF($C100="credit",$E100,'參數'!$C$37)))/AK100)</x:f>
        <x:v>38.871139510117146</x:v>
      </x:c>
      <x:c r="AM100" s="28" t="n">
        <x:f>MIN(AB100,AC100,AL100)</x:f>
        <x:v>10</x:v>
      </x:c>
      <x:c r="AN100" s="28" t="n">
        <x:f>IF(AB100=0,0,AM100*Y100/AB100)</x:f>
        <x:v>4</x:v>
      </x:c>
      <x:c r="AO100" s="28" t="n">
        <x:f>IF(AB100=0,0,AM100*Z100/AB100)</x:f>
        <x:v>6</x:v>
      </x:c>
      <x:c r="AP100" s="28" t="n">
        <x:f>IF(AB100=0,0,AM100*AA100/AB100)</x:f>
        <x:v>0</x:v>
      </x:c>
      <x:c r="AQ100" s="28" t="n">
        <x:f>V100+L100-AN100</x:f>
        <x:v>0</x:v>
      </x:c>
      <x:c r="AR100" s="28" t="n">
        <x:f>W100+M100-AO100</x:f>
        <x:v>0</x:v>
      </x:c>
      <x:c r="AS100" s="28" t="n">
        <x:f>X100+N100-AP100</x:f>
        <x:v>10</x:v>
      </x:c>
      <x:c r="AT100" s="28" t="n">
        <x:f>AQ100+AR100+AS100</x:f>
        <x:v>10</x:v>
      </x:c>
      <x:c r="AU100" s="28" t="n">
        <x:f>AN100*(1-AF100)+AO100*(1-AG100)+AP100*(1-AH100)</x:f>
        <x:v>8.74</x:v>
      </x:c>
      <x:c r="AV100" s="28" t="n">
        <x:f>AM100-AU100</x:f>
        <x:v>1.2599999999999998</x:v>
      </x:c>
      <x:c r="AW100" s="29" t="n">
        <x:f>IF(AM100=0,0,AV100/AM100)</x:f>
        <x:v>0.12599999999999997</x:v>
      </x:c>
      <x:c r="AX100" s="28" t="n">
        <x:f>IF($B100="head",$D100,IF($C100="head",$E100,'參數'!$C$29))*IF($B100="wage",$D100,IF($C100="wage",$E100,'參數'!$C$30))</x:f>
        <x:v>0.22</x:v>
      </x:c>
      <x:c r="AY100" s="28" t="n">
        <x:f>IF($B100="opex",$D100,IF($C100="opex",$E100,'參數'!$C$31))</x:f>
        <x:v>0.23</x:v>
      </x:c>
      <x:c r="AZ100" s="28" t="n">
        <x:f>AX100+AY100</x:f>
        <x:v>0.45</x:v>
      </x:c>
      <x:c r="BA100" s="28" t="n">
        <x:f>AV100-AZ100</x:f>
        <x:v>0.8099999999999998</x:v>
      </x:c>
      <x:c r="BB100" s="28" t="n">
        <x:f>AM100*AK100</x:f>
        <x:v>1.029041095890411</x:v>
      </x:c>
      <x:c r="BC100" s="28" t="n">
        <x:f>0</x:f>
        <x:v>0</x:v>
      </x:c>
      <x:c r="BD100" s="28" t="n">
        <x:f>MAX(0,BB100-MAX(0,AJ100))</x:f>
        <x:v>0.02904109589041104</x:v>
      </x:c>
      <x:c r="BE100" s="28" t="n">
        <x:f>(BC100+BD100)/2</x:f>
        <x:v>0.01452054794520552</x:v>
      </x:c>
      <x:c r="BF100" s="28" t="n">
        <x:f>BE100*IF($B100="rate",$D100,IF($C100="rate",$E100,'參數'!$C$34))</x:f>
        <x:v>0.0005808219178082208</x:v>
      </x:c>
      <x:c r="BG100" s="28" t="n">
        <x:f>IF($B100="nonop",$D100,IF($C100="nonop",$E100,'參數'!$C$36))</x:f>
        <x:v>0.02</x:v>
      </x:c>
      <x:c r="BH100" s="28" t="n">
        <x:f>BA100+BG100-BF100</x:f>
        <x:v>0.8294191780821917</x:v>
      </x:c>
      <x:c r="BI100" s="28" t="n">
        <x:f>MAX(0,BH100)*IF($B100="tax",$D100,IF($C100="tax",$E100,'參數'!$C$35))</x:f>
        <x:v>0.16588383561643835</x:v>
      </x:c>
      <x:c r="BJ100" s="28" t="n">
        <x:f>BH100-BI100</x:f>
        <x:v>0.6635353424657533</x:v>
      </x:c>
      <x:c r="BK100" s="29" t="n">
        <x:f>IF(AM100=0,0,BJ100/AM100)</x:f>
        <x:v>0.06635353424657534</x:v>
      </x:c>
      <x:c r="BL100" s="28" t="n">
        <x:f>IF(BJ100&gt;=0,BJ100*IF($B100="retain",$D100,IF($C100="retain",$E100,'參數'!$C$38)),BJ100)</x:f>
        <x:v>0.33176767123287665</x:v>
      </x:c>
      <x:c r="BM100" s="28" t="n">
        <x:f>AJ100+BL100</x:f>
        <x:v>1.3317676712328765</x:v>
      </x:c>
      <x:c r="BN100" s="28" t="n">
        <x:f>MAX(0,AB100-AC100)</x:f>
        <x:v>0</x:v>
      </x:c>
      <x:c r="BO100" s="28" t="n">
        <x:f>MAX(0,MIN(AB100,AC100)-AM100)</x:f>
        <x:v>0</x:v>
      </x:c>
    </x:row>
    <x:row r="101" ht="24" customHeight="1">
      <x:c r="A101" s="2" t="str">
        <x:v>雙因子1/5</x:v>
      </x:c>
      <x:c r="B101" s="2" t="str">
        <x:v>capacity</x:v>
      </x:c>
      <x:c r="C101" s="2" t="str">
        <x:v>shock</x:v>
      </x:c>
      <x:c r="D101" s="11" t="n">
        <x:f>'雙因子敏感性'!F$6</x:f>
        <x:v>14</x:v>
      </x:c>
      <x:c r="E101" s="11" t="n">
        <x:f>'參數'!C26+'雙因子敏感性'!$A7</x:f>
        <x:v>-0.03</x:v>
      </x:c>
      <x:c r="F101" s="11" t="n">
        <x:f>'參數'!$C$47</x:f>
        <x:v>0</x:v>
      </x:c>
      <x:c r="G101" s="11" t="n">
        <x:f>'參數'!$C$48</x:f>
        <x:v>0</x:v>
      </x:c>
      <x:c r="H101" s="11" t="n">
        <x:f>'參數'!$C$49</x:f>
        <x:v>0</x:v>
      </x:c>
      <x:c r="I101" s="11" t="n">
        <x:f>F101+IF($B101="pE",$D101,IF($C101="pE",$E101,'參數'!$C$5))*IF($B101="scale",$D101,IF($C101="scale",$E101,'參數'!$C$8))</x:f>
        <x:v>10</x:v>
      </x:c>
      <x:c r="J101" s="11" t="n">
        <x:f>G101+IF($B101="pM",$D101,IF($C101="pM",$E101,'參數'!$C$6))*IF($B101="scale",$D101,IF($C101="scale",$E101,'參數'!$C$8))</x:f>
        <x:v>15</x:v>
      </x:c>
      <x:c r="K101" s="11" t="n">
        <x:f>H101+IF($B101="pA",$D101,IF($C101="pA",$E101,'參數'!$C$7))*IF($B101="scale",$D101,IF($C101="scale",$E101,'參數'!$C$8))</x:f>
        <x:v>50</x:v>
      </x:c>
      <x:c r="L101" s="11" t="n">
        <x:f>I101*IF($B101="winE",$D101,IF($C101="winE",$E101,'參數'!$C$9))</x:f>
        <x:v>4</x:v>
      </x:c>
      <x:c r="M101" s="28" t="n">
        <x:f>J101*IF($B101="winM",$D101,IF($C101="winM",$E101,'參數'!$C$10))</x:f>
        <x:v>6</x:v>
      </x:c>
      <x:c r="N101" s="28" t="n">
        <x:f>MIN(K101,IF($B101="readyA",$D101,IF($C101="readyA",$E101,'參數'!$C$11))*IF($B101="gateA",$D101,IF($C101="gateA",$E101,'參數'!$C$12)))</x:f>
        <x:v>10</x:v>
      </x:c>
      <x:c r="O101" s="28" t="n">
        <x:f>L101+M101+N101</x:f>
        <x:v>20</x:v>
      </x:c>
      <x:c r="P101" s="28" t="n">
        <x:f>(I101-L101)*IF($B101="attrition",$D101,IF($C101="attrition",$E101,'參數'!$C$13))</x:f>
        <x:v>1.2000000000000002</x:v>
      </x:c>
      <x:c r="Q101" s="28" t="n">
        <x:f>(J101-M101)*IF($B101="attrition",$D101,IF($C101="attrition",$E101,'參數'!$C$13))</x:f>
        <x:v>1.8</x:v>
      </x:c>
      <x:c r="R101" s="28" t="n">
        <x:f>(K101-N101)*IF($B101="attrition",$D101,IF($C101="attrition",$E101,'參數'!$C$13))</x:f>
        <x:v>8</x:v>
      </x:c>
      <x:c r="S101" s="28" t="n">
        <x:f>I101-L101-P101</x:f>
        <x:v>4.8</x:v>
      </x:c>
      <x:c r="T101" s="28" t="n">
        <x:f>J101-M101-Q101</x:f>
        <x:v>7.2</x:v>
      </x:c>
      <x:c r="U101" s="28" t="n">
        <x:f>K101-N101-R101</x:f>
        <x:v>32</x:v>
      </x:c>
      <x:c r="V101" s="28" t="n">
        <x:f>'參數'!$C$44</x:f>
        <x:v>0</x:v>
      </x:c>
      <x:c r="W101" s="28" t="n">
        <x:f>'參數'!$C$45</x:f>
        <x:v>0</x:v>
      </x:c>
      <x:c r="X101" s="28" t="n">
        <x:f>'參數'!$C$46</x:f>
        <x:v>0</x:v>
      </x:c>
      <x:c r="Y101" s="28" t="n">
        <x:f>V101*IF($B101="relE",$D101,IF($C101="relE",$E101,'參數'!$C$17))+L101*IF($B101="nowE",$D101,IF($C101="nowE",$E101,'參數'!$C$14))</x:f>
        <x:v>4</x:v>
      </x:c>
      <x:c r="Z101" s="28" t="n">
        <x:f>W101*IF($B101="relM",$D101,IF($C101="relM",$E101,'參數'!$C$18))+M101*IF($B101="nowM",$D101,IF($C101="nowM",$E101,'參數'!$C$15))</x:f>
        <x:v>6</x:v>
      </x:c>
      <x:c r="AA101" s="28" t="n">
        <x:f>X101*IF($B101="relA",$D101,IF($C101="relA",$E101,'參數'!$C$19))+N101*IF($B101="nowA",$D101,IF($C101="nowA",$E101,'參數'!$C$16))</x:f>
        <x:v>0</x:v>
      </x:c>
      <x:c r="AB101" s="28" t="n">
        <x:f>Y101+Z101+AA101</x:f>
        <x:v>10</x:v>
      </x:c>
      <x:c r="AC101" s="28" t="n">
        <x:f>IF($B101="capacity",$D101,IF($C101="capacity",$E101,'參數'!$C$20))</x:f>
        <x:v>14</x:v>
      </x:c>
      <x:c r="AD101" s="28" t="n">
        <x:f>IF(AC101=0,0,AB101/AC101)</x:f>
        <x:v>0.7142857142857143</x:v>
      </x:c>
      <x:c r="AE101" s="29" t="n">
        <x:f>MAX(0,AD101-1)*IF($B101="congestion",$D101,IF($C101="congestion",$E101,'參數'!$C$28))</x:f>
        <x:v>0</x:v>
      </x:c>
      <x:c r="AF101" s="29" t="n">
        <x:f>1-(1-(IF($B101="gmE",$D101,IF($C101="gmE",$E101,'參數'!$C$21))+IF($B101="shock",$D101,IF($C101="shock",$E101,'參數'!$C$26))))*(1+IF($B101="inflation",$D101,IF($C101="inflation",$E101,'參數'!$C$27)))-AE101</x:f>
        <x:v>0.08999999999999997</x:v>
      </x:c>
      <x:c r="AG101" s="29" t="n">
        <x:f>1-(1-(IF($B101="gmM",$D101,IF($C101="gmM",$E101,'參數'!$C$22))+IF($B101="dev",$D101,IF($C101="dev",$E101,'參數'!$C$23))*IF($B101="devReal",$D101,IF($C101="devReal",$E101,'參數'!$C$24))+IF($B101="shock",$D101,IF($C101="shock",$E101,'參數'!$C$26))))*(1+IF($B101="inflation",$D101,IF($C101="inflation",$E101,'參數'!$C$27)))-AE101</x:f>
        <x:v>0.15000000000000002</x:v>
      </x:c>
      <x:c r="AH101" s="29" t="n">
        <x:f>1-(1-(IF($B101="gmA",$D101,IF($C101="gmA",$E101,'參數'!$C$25))+IF($B101="shock",$D101,IF($C101="shock",$E101,'參數'!$C$26))))*(1+IF($B101="inflation",$D101,IF($C101="inflation",$E101,'參數'!$C$27)))-AE101</x:f>
        <x:v>0.13</x:v>
      </x:c>
      <x:c r="AI101" s="29" t="n">
        <x:f>IF(AB101=0,0,(Y101*AF101+Z101*AG101+AA101*AH101)/AB101)</x:f>
        <x:v>0.126</x:v>
      </x:c>
      <x:c r="AJ101" s="28" t="n">
        <x:f>'參數'!$C$43</x:f>
        <x:v>1</x:v>
      </x:c>
      <x:c r="AK101" s="28" t="n">
        <x:f>MAX(0,(IF($B101="dso",$D101,IF($C101="dso",$E101,'參數'!$C$32))-(1-AI101)*IF($B101="dpo",$D101,IF($C101="dpo",$E101,'參數'!$C$33)))/365)</x:f>
        <x:v>0.1029041095890411</x:v>
      </x:c>
      <x:c r="AL101" s="28" t="n">
        <x:f>IF(AK101=0,AB101,(MAX(0,AJ101)+IF($B101="credit",$D101,IF($C101="credit",$E101,'參數'!$C$37)))/AK101)</x:f>
        <x:v>38.871139510117146</x:v>
      </x:c>
      <x:c r="AM101" s="28" t="n">
        <x:f>MIN(AB101,AC101,AL101)</x:f>
        <x:v>10</x:v>
      </x:c>
      <x:c r="AN101" s="28" t="n">
        <x:f>IF(AB101=0,0,AM101*Y101/AB101)</x:f>
        <x:v>4</x:v>
      </x:c>
      <x:c r="AO101" s="28" t="n">
        <x:f>IF(AB101=0,0,AM101*Z101/AB101)</x:f>
        <x:v>6</x:v>
      </x:c>
      <x:c r="AP101" s="28" t="n">
        <x:f>IF(AB101=0,0,AM101*AA101/AB101)</x:f>
        <x:v>0</x:v>
      </x:c>
      <x:c r="AQ101" s="28" t="n">
        <x:f>V101+L101-AN101</x:f>
        <x:v>0</x:v>
      </x:c>
      <x:c r="AR101" s="28" t="n">
        <x:f>W101+M101-AO101</x:f>
        <x:v>0</x:v>
      </x:c>
      <x:c r="AS101" s="28" t="n">
        <x:f>X101+N101-AP101</x:f>
        <x:v>10</x:v>
      </x:c>
      <x:c r="AT101" s="28" t="n">
        <x:f>AQ101+AR101+AS101</x:f>
        <x:v>10</x:v>
      </x:c>
      <x:c r="AU101" s="28" t="n">
        <x:f>AN101*(1-AF101)+AO101*(1-AG101)+AP101*(1-AH101)</x:f>
        <x:v>8.74</x:v>
      </x:c>
      <x:c r="AV101" s="28" t="n">
        <x:f>AM101-AU101</x:f>
        <x:v>1.2599999999999998</x:v>
      </x:c>
      <x:c r="AW101" s="29" t="n">
        <x:f>IF(AM101=0,0,AV101/AM101)</x:f>
        <x:v>0.12599999999999997</x:v>
      </x:c>
      <x:c r="AX101" s="28" t="n">
        <x:f>IF($B101="head",$D101,IF($C101="head",$E101,'參數'!$C$29))*IF($B101="wage",$D101,IF($C101="wage",$E101,'參數'!$C$30))</x:f>
        <x:v>0.22</x:v>
      </x:c>
      <x:c r="AY101" s="28" t="n">
        <x:f>IF($B101="opex",$D101,IF($C101="opex",$E101,'參數'!$C$31))</x:f>
        <x:v>0.23</x:v>
      </x:c>
      <x:c r="AZ101" s="28" t="n">
        <x:f>AX101+AY101</x:f>
        <x:v>0.45</x:v>
      </x:c>
      <x:c r="BA101" s="28" t="n">
        <x:f>AV101-AZ101</x:f>
        <x:v>0.8099999999999998</x:v>
      </x:c>
      <x:c r="BB101" s="28" t="n">
        <x:f>AM101*AK101</x:f>
        <x:v>1.029041095890411</x:v>
      </x:c>
      <x:c r="BC101" s="28" t="n">
        <x:f>0</x:f>
        <x:v>0</x:v>
      </x:c>
      <x:c r="BD101" s="28" t="n">
        <x:f>MAX(0,BB101-MAX(0,AJ101))</x:f>
        <x:v>0.02904109589041104</x:v>
      </x:c>
      <x:c r="BE101" s="28" t="n">
        <x:f>(BC101+BD101)/2</x:f>
        <x:v>0.01452054794520552</x:v>
      </x:c>
      <x:c r="BF101" s="28" t="n">
        <x:f>BE101*IF($B101="rate",$D101,IF($C101="rate",$E101,'參數'!$C$34))</x:f>
        <x:v>0.0005808219178082208</x:v>
      </x:c>
      <x:c r="BG101" s="28" t="n">
        <x:f>IF($B101="nonop",$D101,IF($C101="nonop",$E101,'參數'!$C$36))</x:f>
        <x:v>0.02</x:v>
      </x:c>
      <x:c r="BH101" s="28" t="n">
        <x:f>BA101+BG101-BF101</x:f>
        <x:v>0.8294191780821917</x:v>
      </x:c>
      <x:c r="BI101" s="28" t="n">
        <x:f>MAX(0,BH101)*IF($B101="tax",$D101,IF($C101="tax",$E101,'參數'!$C$35))</x:f>
        <x:v>0.16588383561643835</x:v>
      </x:c>
      <x:c r="BJ101" s="28" t="n">
        <x:f>BH101-BI101</x:f>
        <x:v>0.6635353424657533</x:v>
      </x:c>
      <x:c r="BK101" s="29" t="n">
        <x:f>IF(AM101=0,0,BJ101/AM101)</x:f>
        <x:v>0.06635353424657534</x:v>
      </x:c>
      <x:c r="BL101" s="28" t="n">
        <x:f>IF(BJ101&gt;=0,BJ101*IF($B101="retain",$D101,IF($C101="retain",$E101,'參數'!$C$38)),BJ101)</x:f>
        <x:v>0.33176767123287665</x:v>
      </x:c>
      <x:c r="BM101" s="28" t="n">
        <x:f>AJ101+BL101</x:f>
        <x:v>1.3317676712328765</x:v>
      </x:c>
      <x:c r="BN101" s="28" t="n">
        <x:f>MAX(0,AB101-AC101)</x:f>
        <x:v>0</x:v>
      </x:c>
      <x:c r="BO101" s="28" t="n">
        <x:f>MAX(0,MIN(AB101,AC101)-AM101)</x:f>
        <x:v>0</x:v>
      </x:c>
    </x:row>
    <x:row r="102" ht="24" customHeight="1">
      <x:c r="A102" s="2" t="str">
        <x:v>雙因子2/1</x:v>
      </x:c>
      <x:c r="B102" s="2" t="str">
        <x:v>capacity</x:v>
      </x:c>
      <x:c r="C102" s="2" t="str">
        <x:v>shock</x:v>
      </x:c>
      <x:c r="D102" s="11" t="n">
        <x:f>'雙因子敏感性'!B$6</x:f>
        <x:v>6</x:v>
      </x:c>
      <x:c r="E102" s="11" t="n">
        <x:f>'參數'!C26+'雙因子敏感性'!$A8</x:f>
        <x:v>-0.015</x:v>
      </x:c>
      <x:c r="F102" s="11" t="n">
        <x:f>'參數'!$C$47</x:f>
        <x:v>0</x:v>
      </x:c>
      <x:c r="G102" s="11" t="n">
        <x:f>'參數'!$C$48</x:f>
        <x:v>0</x:v>
      </x:c>
      <x:c r="H102" s="11" t="n">
        <x:f>'參數'!$C$49</x:f>
        <x:v>0</x:v>
      </x:c>
      <x:c r="I102" s="11" t="n">
        <x:f>F102+IF($B102="pE",$D102,IF($C102="pE",$E102,'參數'!$C$5))*IF($B102="scale",$D102,IF($C102="scale",$E102,'參數'!$C$8))</x:f>
        <x:v>10</x:v>
      </x:c>
      <x:c r="J102" s="11" t="n">
        <x:f>G102+IF($B102="pM",$D102,IF($C102="pM",$E102,'參數'!$C$6))*IF($B102="scale",$D102,IF($C102="scale",$E102,'參數'!$C$8))</x:f>
        <x:v>15</x:v>
      </x:c>
      <x:c r="K102" s="11" t="n">
        <x:f>H102+IF($B102="pA",$D102,IF($C102="pA",$E102,'參數'!$C$7))*IF($B102="scale",$D102,IF($C102="scale",$E102,'參數'!$C$8))</x:f>
        <x:v>50</x:v>
      </x:c>
      <x:c r="L102" s="11" t="n">
        <x:f>I102*IF($B102="winE",$D102,IF($C102="winE",$E102,'參數'!$C$9))</x:f>
        <x:v>4</x:v>
      </x:c>
      <x:c r="M102" s="28" t="n">
        <x:f>J102*IF($B102="winM",$D102,IF($C102="winM",$E102,'參數'!$C$10))</x:f>
        <x:v>6</x:v>
      </x:c>
      <x:c r="N102" s="28" t="n">
        <x:f>MIN(K102,IF($B102="readyA",$D102,IF($C102="readyA",$E102,'參數'!$C$11))*IF($B102="gateA",$D102,IF($C102="gateA",$E102,'參數'!$C$12)))</x:f>
        <x:v>10</x:v>
      </x:c>
      <x:c r="O102" s="28" t="n">
        <x:f>L102+M102+N102</x:f>
        <x:v>20</x:v>
      </x:c>
      <x:c r="P102" s="28" t="n">
        <x:f>(I102-L102)*IF($B102="attrition",$D102,IF($C102="attrition",$E102,'參數'!$C$13))</x:f>
        <x:v>1.2000000000000002</x:v>
      </x:c>
      <x:c r="Q102" s="28" t="n">
        <x:f>(J102-M102)*IF($B102="attrition",$D102,IF($C102="attrition",$E102,'參數'!$C$13))</x:f>
        <x:v>1.8</x:v>
      </x:c>
      <x:c r="R102" s="28" t="n">
        <x:f>(K102-N102)*IF($B102="attrition",$D102,IF($C102="attrition",$E102,'參數'!$C$13))</x:f>
        <x:v>8</x:v>
      </x:c>
      <x:c r="S102" s="28" t="n">
        <x:f>I102-L102-P102</x:f>
        <x:v>4.8</x:v>
      </x:c>
      <x:c r="T102" s="28" t="n">
        <x:f>J102-M102-Q102</x:f>
        <x:v>7.2</x:v>
      </x:c>
      <x:c r="U102" s="28" t="n">
        <x:f>K102-N102-R102</x:f>
        <x:v>32</x:v>
      </x:c>
      <x:c r="V102" s="28" t="n">
        <x:f>'參數'!$C$44</x:f>
        <x:v>0</x:v>
      </x:c>
      <x:c r="W102" s="28" t="n">
        <x:f>'參數'!$C$45</x:f>
        <x:v>0</x:v>
      </x:c>
      <x:c r="X102" s="28" t="n">
        <x:f>'參數'!$C$46</x:f>
        <x:v>0</x:v>
      </x:c>
      <x:c r="Y102" s="28" t="n">
        <x:f>V102*IF($B102="relE",$D102,IF($C102="relE",$E102,'參數'!$C$17))+L102*IF($B102="nowE",$D102,IF($C102="nowE",$E102,'參數'!$C$14))</x:f>
        <x:v>4</x:v>
      </x:c>
      <x:c r="Z102" s="28" t="n">
        <x:f>W102*IF($B102="relM",$D102,IF($C102="relM",$E102,'參數'!$C$18))+M102*IF($B102="nowM",$D102,IF($C102="nowM",$E102,'參數'!$C$15))</x:f>
        <x:v>6</x:v>
      </x:c>
      <x:c r="AA102" s="28" t="n">
        <x:f>X102*IF($B102="relA",$D102,IF($C102="relA",$E102,'參數'!$C$19))+N102*IF($B102="nowA",$D102,IF($C102="nowA",$E102,'參數'!$C$16))</x:f>
        <x:v>0</x:v>
      </x:c>
      <x:c r="AB102" s="28" t="n">
        <x:f>Y102+Z102+AA102</x:f>
        <x:v>10</x:v>
      </x:c>
      <x:c r="AC102" s="28" t="n">
        <x:f>IF($B102="capacity",$D102,IF($C102="capacity",$E102,'參數'!$C$20))</x:f>
        <x:v>6</x:v>
      </x:c>
      <x:c r="AD102" s="28" t="n">
        <x:f>IF(AC102=0,0,AB102/AC102)</x:f>
        <x:v>1.6666666666666667</x:v>
      </x:c>
      <x:c r="AE102" s="29" t="n">
        <x:f>MAX(0,AD102-1)*IF($B102="congestion",$D102,IF($C102="congestion",$E102,'參數'!$C$28))</x:f>
        <x:v>0.006666666666666668</x:v>
      </x:c>
      <x:c r="AF102" s="29" t="n">
        <x:f>1-(1-(IF($B102="gmE",$D102,IF($C102="gmE",$E102,'參數'!$C$21))+IF($B102="shock",$D102,IF($C102="shock",$E102,'參數'!$C$26))))*(1+IF($B102="inflation",$D102,IF($C102="inflation",$E102,'參數'!$C$27)))-AE102</x:f>
        <x:v>0.09833333333333331</x:v>
      </x:c>
      <x:c r="AG102" s="29" t="n">
        <x:f>1-(1-(IF($B102="gmM",$D102,IF($C102="gmM",$E102,'參數'!$C$22))+IF($B102="dev",$D102,IF($C102="dev",$E102,'參數'!$C$23))*IF($B102="devReal",$D102,IF($C102="devReal",$E102,'參數'!$C$24))+IF($B102="shock",$D102,IF($C102="shock",$E102,'參數'!$C$26))))*(1+IF($B102="inflation",$D102,IF($C102="inflation",$E102,'參數'!$C$27)))-AE102</x:f>
        <x:v>0.15833333333333338</x:v>
      </x:c>
      <x:c r="AH102" s="29" t="n">
        <x:f>1-(1-(IF($B102="gmA",$D102,IF($C102="gmA",$E102,'參數'!$C$25))+IF($B102="shock",$D102,IF($C102="shock",$E102,'參數'!$C$26))))*(1+IF($B102="inflation",$D102,IF($C102="inflation",$E102,'參數'!$C$27)))-AE102</x:f>
        <x:v>0.13833333333333336</x:v>
      </x:c>
      <x:c r="AI102" s="29" t="n">
        <x:f>IF(AB102=0,0,(Y102*AF102+Z102*AG102+AA102*AH102)/AB102)</x:f>
        <x:v>0.13433333333333336</x:v>
      </x:c>
      <x:c r="AJ102" s="28" t="n">
        <x:f>'參數'!$C$43</x:f>
        <x:v>1</x:v>
      </x:c>
      <x:c r="AK102" s="28" t="n">
        <x:f>MAX(0,(IF($B102="dso",$D102,IF($C102="dso",$E102,'參數'!$C$32))-(1-AI102)*IF($B102="dpo",$D102,IF($C102="dpo",$E102,'參數'!$C$33)))/365)</x:f>
        <x:v>0.10427397260273973</x:v>
      </x:c>
      <x:c r="AL102" s="28" t="n">
        <x:f>IF(AK102=0,AB102,(MAX(0,AJ102)+IF($B102="credit",$D102,IF($C102="credit",$E102,'參數'!$C$37)))/AK102)</x:f>
        <x:v>38.36048344718865</x:v>
      </x:c>
      <x:c r="AM102" s="28" t="n">
        <x:f>MIN(AB102,AC102,AL102)</x:f>
        <x:v>6</x:v>
      </x:c>
      <x:c r="AN102" s="28" t="n">
        <x:f>IF(AB102=0,0,AM102*Y102/AB102)</x:f>
        <x:v>2.4</x:v>
      </x:c>
      <x:c r="AO102" s="28" t="n">
        <x:f>IF(AB102=0,0,AM102*Z102/AB102)</x:f>
        <x:v>3.6</x:v>
      </x:c>
      <x:c r="AP102" s="28" t="n">
        <x:f>IF(AB102=0,0,AM102*AA102/AB102)</x:f>
        <x:v>0</x:v>
      </x:c>
      <x:c r="AQ102" s="28" t="n">
        <x:f>V102+L102-AN102</x:f>
        <x:v>1.6</x:v>
      </x:c>
      <x:c r="AR102" s="28" t="n">
        <x:f>W102+M102-AO102</x:f>
        <x:v>2.4</x:v>
      </x:c>
      <x:c r="AS102" s="28" t="n">
        <x:f>X102+N102-AP102</x:f>
        <x:v>10</x:v>
      </x:c>
      <x:c r="AT102" s="28" t="n">
        <x:f>AQ102+AR102+AS102</x:f>
        <x:v>14</x:v>
      </x:c>
      <x:c r="AU102" s="28" t="n">
        <x:f>AN102*(1-AF102)+AO102*(1-AG102)+AP102*(1-AH102)</x:f>
        <x:v>5.194</x:v>
      </x:c>
      <x:c r="AV102" s="28" t="n">
        <x:f>AM102-AU102</x:f>
        <x:v>0.806</x:v>
      </x:c>
      <x:c r="AW102" s="29" t="n">
        <x:f>IF(AM102=0,0,AV102/AM102)</x:f>
        <x:v>0.13433333333333333</x:v>
      </x:c>
      <x:c r="AX102" s="28" t="n">
        <x:f>IF($B102="head",$D102,IF($C102="head",$E102,'參數'!$C$29))*IF($B102="wage",$D102,IF($C102="wage",$E102,'參數'!$C$30))</x:f>
        <x:v>0.22</x:v>
      </x:c>
      <x:c r="AY102" s="28" t="n">
        <x:f>IF($B102="opex",$D102,IF($C102="opex",$E102,'參數'!$C$31))</x:f>
        <x:v>0.23</x:v>
      </x:c>
      <x:c r="AZ102" s="28" t="n">
        <x:f>AX102+AY102</x:f>
        <x:v>0.45</x:v>
      </x:c>
      <x:c r="BA102" s="28" t="n">
        <x:f>AV102-AZ102</x:f>
        <x:v>0.35600000000000004</x:v>
      </x:c>
      <x:c r="BB102" s="28" t="n">
        <x:f>AM102*AK102</x:f>
        <x:v>0.6256438356164383</x:v>
      </x:c>
      <x:c r="BC102" s="28" t="n">
        <x:f>0</x:f>
        <x:v>0</x:v>
      </x:c>
      <x:c r="BD102" s="28" t="n">
        <x:f>MAX(0,BB102-MAX(0,AJ102))</x:f>
        <x:v>0</x:v>
      </x:c>
      <x:c r="BE102" s="28" t="n">
        <x:f>(BC102+BD102)/2</x:f>
        <x:v>0</x:v>
      </x:c>
      <x:c r="BF102" s="28" t="n">
        <x:f>BE102*IF($B102="rate",$D102,IF($C102="rate",$E102,'參數'!$C$34))</x:f>
        <x:v>0</x:v>
      </x:c>
      <x:c r="BG102" s="28" t="n">
        <x:f>IF($B102="nonop",$D102,IF($C102="nonop",$E102,'參數'!$C$36))</x:f>
        <x:v>0.02</x:v>
      </x:c>
      <x:c r="BH102" s="28" t="n">
        <x:f>BA102+BG102-BF102</x:f>
        <x:v>0.37600000000000006</x:v>
      </x:c>
      <x:c r="BI102" s="28" t="n">
        <x:f>MAX(0,BH102)*IF($B102="tax",$D102,IF($C102="tax",$E102,'參數'!$C$35))</x:f>
        <x:v>0.07520000000000002</x:v>
      </x:c>
      <x:c r="BJ102" s="28" t="n">
        <x:f>BH102-BI102</x:f>
        <x:v>0.30080000000000007</x:v>
      </x:c>
      <x:c r="BK102" s="29" t="n">
        <x:f>IF(AM102=0,0,BJ102/AM102)</x:f>
        <x:v>0.05013333333333334</x:v>
      </x:c>
      <x:c r="BL102" s="28" t="n">
        <x:f>IF(BJ102&gt;=0,BJ102*IF($B102="retain",$D102,IF($C102="retain",$E102,'參數'!$C$38)),BJ102)</x:f>
        <x:v>0.15040000000000003</x:v>
      </x:c>
      <x:c r="BM102" s="28" t="n">
        <x:f>AJ102+BL102</x:f>
        <x:v>1.1504</x:v>
      </x:c>
      <x:c r="BN102" s="28" t="n">
        <x:f>MAX(0,AB102-AC102)</x:f>
        <x:v>4</x:v>
      </x:c>
      <x:c r="BO102" s="28" t="n">
        <x:f>MAX(0,MIN(AB102,AC102)-AM102)</x:f>
        <x:v>0</x:v>
      </x:c>
    </x:row>
    <x:row r="103" ht="24" customHeight="1">
      <x:c r="A103" s="2" t="str">
        <x:v>雙因子2/2</x:v>
      </x:c>
      <x:c r="B103" s="2" t="str">
        <x:v>capacity</x:v>
      </x:c>
      <x:c r="C103" s="2" t="str">
        <x:v>shock</x:v>
      </x:c>
      <x:c r="D103" s="11" t="n">
        <x:f>'雙因子敏感性'!C$6</x:f>
        <x:v>8</x:v>
      </x:c>
      <x:c r="E103" s="11" t="n">
        <x:f>'參數'!C26+'雙因子敏感性'!$A8</x:f>
        <x:v>-0.015</x:v>
      </x:c>
      <x:c r="F103" s="11" t="n">
        <x:f>'參數'!$C$47</x:f>
        <x:v>0</x:v>
      </x:c>
      <x:c r="G103" s="11" t="n">
        <x:f>'參數'!$C$48</x:f>
        <x:v>0</x:v>
      </x:c>
      <x:c r="H103" s="11" t="n">
        <x:f>'參數'!$C$49</x:f>
        <x:v>0</x:v>
      </x:c>
      <x:c r="I103" s="11" t="n">
        <x:f>F103+IF($B103="pE",$D103,IF($C103="pE",$E103,'參數'!$C$5))*IF($B103="scale",$D103,IF($C103="scale",$E103,'參數'!$C$8))</x:f>
        <x:v>10</x:v>
      </x:c>
      <x:c r="J103" s="11" t="n">
        <x:f>G103+IF($B103="pM",$D103,IF($C103="pM",$E103,'參數'!$C$6))*IF($B103="scale",$D103,IF($C103="scale",$E103,'參數'!$C$8))</x:f>
        <x:v>15</x:v>
      </x:c>
      <x:c r="K103" s="11" t="n">
        <x:f>H103+IF($B103="pA",$D103,IF($C103="pA",$E103,'參數'!$C$7))*IF($B103="scale",$D103,IF($C103="scale",$E103,'參數'!$C$8))</x:f>
        <x:v>50</x:v>
      </x:c>
      <x:c r="L103" s="11" t="n">
        <x:f>I103*IF($B103="winE",$D103,IF($C103="winE",$E103,'參數'!$C$9))</x:f>
        <x:v>4</x:v>
      </x:c>
      <x:c r="M103" s="28" t="n">
        <x:f>J103*IF($B103="winM",$D103,IF($C103="winM",$E103,'參數'!$C$10))</x:f>
        <x:v>6</x:v>
      </x:c>
      <x:c r="N103" s="28" t="n">
        <x:f>MIN(K103,IF($B103="readyA",$D103,IF($C103="readyA",$E103,'參數'!$C$11))*IF($B103="gateA",$D103,IF($C103="gateA",$E103,'參數'!$C$12)))</x:f>
        <x:v>10</x:v>
      </x:c>
      <x:c r="O103" s="28" t="n">
        <x:f>L103+M103+N103</x:f>
        <x:v>20</x:v>
      </x:c>
      <x:c r="P103" s="28" t="n">
        <x:f>(I103-L103)*IF($B103="attrition",$D103,IF($C103="attrition",$E103,'參數'!$C$13))</x:f>
        <x:v>1.2000000000000002</x:v>
      </x:c>
      <x:c r="Q103" s="28" t="n">
        <x:f>(J103-M103)*IF($B103="attrition",$D103,IF($C103="attrition",$E103,'參數'!$C$13))</x:f>
        <x:v>1.8</x:v>
      </x:c>
      <x:c r="R103" s="28" t="n">
        <x:f>(K103-N103)*IF($B103="attrition",$D103,IF($C103="attrition",$E103,'參數'!$C$13))</x:f>
        <x:v>8</x:v>
      </x:c>
      <x:c r="S103" s="28" t="n">
        <x:f>I103-L103-P103</x:f>
        <x:v>4.8</x:v>
      </x:c>
      <x:c r="T103" s="28" t="n">
        <x:f>J103-M103-Q103</x:f>
        <x:v>7.2</x:v>
      </x:c>
      <x:c r="U103" s="28" t="n">
        <x:f>K103-N103-R103</x:f>
        <x:v>32</x:v>
      </x:c>
      <x:c r="V103" s="28" t="n">
        <x:f>'參數'!$C$44</x:f>
        <x:v>0</x:v>
      </x:c>
      <x:c r="W103" s="28" t="n">
        <x:f>'參數'!$C$45</x:f>
        <x:v>0</x:v>
      </x:c>
      <x:c r="X103" s="28" t="n">
        <x:f>'參數'!$C$46</x:f>
        <x:v>0</x:v>
      </x:c>
      <x:c r="Y103" s="28" t="n">
        <x:f>V103*IF($B103="relE",$D103,IF($C103="relE",$E103,'參數'!$C$17))+L103*IF($B103="nowE",$D103,IF($C103="nowE",$E103,'參數'!$C$14))</x:f>
        <x:v>4</x:v>
      </x:c>
      <x:c r="Z103" s="28" t="n">
        <x:f>W103*IF($B103="relM",$D103,IF($C103="relM",$E103,'參數'!$C$18))+M103*IF($B103="nowM",$D103,IF($C103="nowM",$E103,'參數'!$C$15))</x:f>
        <x:v>6</x:v>
      </x:c>
      <x:c r="AA103" s="28" t="n">
        <x:f>X103*IF($B103="relA",$D103,IF($C103="relA",$E103,'參數'!$C$19))+N103*IF($B103="nowA",$D103,IF($C103="nowA",$E103,'參數'!$C$16))</x:f>
        <x:v>0</x:v>
      </x:c>
      <x:c r="AB103" s="28" t="n">
        <x:f>Y103+Z103+AA103</x:f>
        <x:v>10</x:v>
      </x:c>
      <x:c r="AC103" s="28" t="n">
        <x:f>IF($B103="capacity",$D103,IF($C103="capacity",$E103,'參數'!$C$20))</x:f>
        <x:v>8</x:v>
      </x:c>
      <x:c r="AD103" s="28" t="n">
        <x:f>IF(AC103=0,0,AB103/AC103)</x:f>
        <x:v>1.25</x:v>
      </x:c>
      <x:c r="AE103" s="29" t="n">
        <x:f>MAX(0,AD103-1)*IF($B103="congestion",$D103,IF($C103="congestion",$E103,'參數'!$C$28))</x:f>
        <x:v>0.0025</x:v>
      </x:c>
      <x:c r="AF103" s="29" t="n">
        <x:f>1-(1-(IF($B103="gmE",$D103,IF($C103="gmE",$E103,'參數'!$C$21))+IF($B103="shock",$D103,IF($C103="shock",$E103,'參數'!$C$26))))*(1+IF($B103="inflation",$D103,IF($C103="inflation",$E103,'參數'!$C$27)))-AE103</x:f>
        <x:v>0.10249999999999998</x:v>
      </x:c>
      <x:c r="AG103" s="29" t="n">
        <x:f>1-(1-(IF($B103="gmM",$D103,IF($C103="gmM",$E103,'參數'!$C$22))+IF($B103="dev",$D103,IF($C103="dev",$E103,'參數'!$C$23))*IF($B103="devReal",$D103,IF($C103="devReal",$E103,'參數'!$C$24))+IF($B103="shock",$D103,IF($C103="shock",$E103,'參數'!$C$26))))*(1+IF($B103="inflation",$D103,IF($C103="inflation",$E103,'參數'!$C$27)))-AE103</x:f>
        <x:v>0.16250000000000003</x:v>
      </x:c>
      <x:c r="AH103" s="29" t="n">
        <x:f>1-(1-(IF($B103="gmA",$D103,IF($C103="gmA",$E103,'參數'!$C$25))+IF($B103="shock",$D103,IF($C103="shock",$E103,'參數'!$C$26))))*(1+IF($B103="inflation",$D103,IF($C103="inflation",$E103,'參數'!$C$27)))-AE103</x:f>
        <x:v>0.14250000000000002</x:v>
      </x:c>
      <x:c r="AI103" s="29" t="n">
        <x:f>IF(AB103=0,0,(Y103*AF103+Z103*AG103+AA103*AH103)/AB103)</x:f>
        <x:v>0.1385</x:v>
      </x:c>
      <x:c r="AJ103" s="28" t="n">
        <x:f>'參數'!$C$43</x:f>
        <x:v>1</x:v>
      </x:c>
      <x:c r="AK103" s="28" t="n">
        <x:f>MAX(0,(IF($B103="dso",$D103,IF($C103="dso",$E103,'參數'!$C$32))-(1-AI103)*IF($B103="dpo",$D103,IF($C103="dpo",$E103,'參數'!$C$33)))/365)</x:f>
        <x:v>0.10495890410958905</x:v>
      </x:c>
      <x:c r="AL103" s="28" t="n">
        <x:f>IF(AK103=0,AB103,(MAX(0,AJ103)+IF($B103="credit",$D103,IF($C103="credit",$E103,'參數'!$C$37)))/AK103)</x:f>
        <x:v>38.110154006786736</x:v>
      </x:c>
      <x:c r="AM103" s="28" t="n">
        <x:f>MIN(AB103,AC103,AL103)</x:f>
        <x:v>8</x:v>
      </x:c>
      <x:c r="AN103" s="28" t="n">
        <x:f>IF(AB103=0,0,AM103*Y103/AB103)</x:f>
        <x:v>3.2</x:v>
      </x:c>
      <x:c r="AO103" s="28" t="n">
        <x:f>IF(AB103=0,0,AM103*Z103/AB103)</x:f>
        <x:v>4.8</x:v>
      </x:c>
      <x:c r="AP103" s="28" t="n">
        <x:f>IF(AB103=0,0,AM103*AA103/AB103)</x:f>
        <x:v>0</x:v>
      </x:c>
      <x:c r="AQ103" s="28" t="n">
        <x:f>V103+L103-AN103</x:f>
        <x:v>0.7999999999999998</x:v>
      </x:c>
      <x:c r="AR103" s="28" t="n">
        <x:f>W103+M103-AO103</x:f>
        <x:v>1.2000000000000002</x:v>
      </x:c>
      <x:c r="AS103" s="28" t="n">
        <x:f>X103+N103-AP103</x:f>
        <x:v>10</x:v>
      </x:c>
      <x:c r="AT103" s="28" t="n">
        <x:f>AQ103+AR103+AS103</x:f>
        <x:v>12</x:v>
      </x:c>
      <x:c r="AU103" s="28" t="n">
        <x:f>AN103*(1-AF103)+AO103*(1-AG103)+AP103*(1-AH103)</x:f>
        <x:v>6.8919999999999995</x:v>
      </x:c>
      <x:c r="AV103" s="28" t="n">
        <x:f>AM103-AU103</x:f>
        <x:v>1.1080000000000005</x:v>
      </x:c>
      <x:c r="AW103" s="29" t="n">
        <x:f>IF(AM103=0,0,AV103/AM103)</x:f>
        <x:v>0.13850000000000007</x:v>
      </x:c>
      <x:c r="AX103" s="28" t="n">
        <x:f>IF($B103="head",$D103,IF($C103="head",$E103,'參數'!$C$29))*IF($B103="wage",$D103,IF($C103="wage",$E103,'參數'!$C$30))</x:f>
        <x:v>0.22</x:v>
      </x:c>
      <x:c r="AY103" s="28" t="n">
        <x:f>IF($B103="opex",$D103,IF($C103="opex",$E103,'參數'!$C$31))</x:f>
        <x:v>0.23</x:v>
      </x:c>
      <x:c r="AZ103" s="28" t="n">
        <x:f>AX103+AY103</x:f>
        <x:v>0.45</x:v>
      </x:c>
      <x:c r="BA103" s="28" t="n">
        <x:f>AV103-AZ103</x:f>
        <x:v>0.6580000000000006</x:v>
      </x:c>
      <x:c r="BB103" s="28" t="n">
        <x:f>AM103*AK103</x:f>
        <x:v>0.8396712328767124</x:v>
      </x:c>
      <x:c r="BC103" s="28" t="n">
        <x:f>0</x:f>
        <x:v>0</x:v>
      </x:c>
      <x:c r="BD103" s="28" t="n">
        <x:f>MAX(0,BB103-MAX(0,AJ103))</x:f>
        <x:v>0</x:v>
      </x:c>
      <x:c r="BE103" s="28" t="n">
        <x:f>(BC103+BD103)/2</x:f>
        <x:v>0</x:v>
      </x:c>
      <x:c r="BF103" s="28" t="n">
        <x:f>BE103*IF($B103="rate",$D103,IF($C103="rate",$E103,'參數'!$C$34))</x:f>
        <x:v>0</x:v>
      </x:c>
      <x:c r="BG103" s="28" t="n">
        <x:f>IF($B103="nonop",$D103,IF($C103="nonop",$E103,'參數'!$C$36))</x:f>
        <x:v>0.02</x:v>
      </x:c>
      <x:c r="BH103" s="28" t="n">
        <x:f>BA103+BG103-BF103</x:f>
        <x:v>0.6780000000000006</x:v>
      </x:c>
      <x:c r="BI103" s="28" t="n">
        <x:f>MAX(0,BH103)*IF($B103="tax",$D103,IF($C103="tax",$E103,'參數'!$C$35))</x:f>
        <x:v>0.13560000000000014</x:v>
      </x:c>
      <x:c r="BJ103" s="28" t="n">
        <x:f>BH103-BI103</x:f>
        <x:v>0.5424000000000004</x:v>
      </x:c>
      <x:c r="BK103" s="29" t="n">
        <x:f>IF(AM103=0,0,BJ103/AM103)</x:f>
        <x:v>0.06780000000000005</x:v>
      </x:c>
      <x:c r="BL103" s="28" t="n">
        <x:f>IF(BJ103&gt;=0,BJ103*IF($B103="retain",$D103,IF($C103="retain",$E103,'參數'!$C$38)),BJ103)</x:f>
        <x:v>0.2712000000000002</x:v>
      </x:c>
      <x:c r="BM103" s="28" t="n">
        <x:f>AJ103+BL103</x:f>
        <x:v>1.2712000000000003</x:v>
      </x:c>
      <x:c r="BN103" s="28" t="n">
        <x:f>MAX(0,AB103-AC103)</x:f>
        <x:v>2</x:v>
      </x:c>
      <x:c r="BO103" s="28" t="n">
        <x:f>MAX(0,MIN(AB103,AC103)-AM103)</x:f>
        <x:v>0</x:v>
      </x:c>
    </x:row>
    <x:row r="104" ht="24" customHeight="1">
      <x:c r="A104" s="2" t="str">
        <x:v>雙因子2/3</x:v>
      </x:c>
      <x:c r="B104" s="2" t="str">
        <x:v>capacity</x:v>
      </x:c>
      <x:c r="C104" s="2" t="str">
        <x:v>shock</x:v>
      </x:c>
      <x:c r="D104" s="11" t="n">
        <x:f>'雙因子敏感性'!D$6</x:f>
        <x:v>10</x:v>
      </x:c>
      <x:c r="E104" s="11" t="n">
        <x:f>'參數'!C26+'雙因子敏感性'!$A8</x:f>
        <x:v>-0.015</x:v>
      </x:c>
      <x:c r="F104" s="11" t="n">
        <x:f>'參數'!$C$47</x:f>
        <x:v>0</x:v>
      </x:c>
      <x:c r="G104" s="11" t="n">
        <x:f>'參數'!$C$48</x:f>
        <x:v>0</x:v>
      </x:c>
      <x:c r="H104" s="11" t="n">
        <x:f>'參數'!$C$49</x:f>
        <x:v>0</x:v>
      </x:c>
      <x:c r="I104" s="11" t="n">
        <x:f>F104+IF($B104="pE",$D104,IF($C104="pE",$E104,'參數'!$C$5))*IF($B104="scale",$D104,IF($C104="scale",$E104,'參數'!$C$8))</x:f>
        <x:v>10</x:v>
      </x:c>
      <x:c r="J104" s="11" t="n">
        <x:f>G104+IF($B104="pM",$D104,IF($C104="pM",$E104,'參數'!$C$6))*IF($B104="scale",$D104,IF($C104="scale",$E104,'參數'!$C$8))</x:f>
        <x:v>15</x:v>
      </x:c>
      <x:c r="K104" s="11" t="n">
        <x:f>H104+IF($B104="pA",$D104,IF($C104="pA",$E104,'參數'!$C$7))*IF($B104="scale",$D104,IF($C104="scale",$E104,'參數'!$C$8))</x:f>
        <x:v>50</x:v>
      </x:c>
      <x:c r="L104" s="11" t="n">
        <x:f>I104*IF($B104="winE",$D104,IF($C104="winE",$E104,'參數'!$C$9))</x:f>
        <x:v>4</x:v>
      </x:c>
      <x:c r="M104" s="28" t="n">
        <x:f>J104*IF($B104="winM",$D104,IF($C104="winM",$E104,'參數'!$C$10))</x:f>
        <x:v>6</x:v>
      </x:c>
      <x:c r="N104" s="28" t="n">
        <x:f>MIN(K104,IF($B104="readyA",$D104,IF($C104="readyA",$E104,'參數'!$C$11))*IF($B104="gateA",$D104,IF($C104="gateA",$E104,'參數'!$C$12)))</x:f>
        <x:v>10</x:v>
      </x:c>
      <x:c r="O104" s="28" t="n">
        <x:f>L104+M104+N104</x:f>
        <x:v>20</x:v>
      </x:c>
      <x:c r="P104" s="28" t="n">
        <x:f>(I104-L104)*IF($B104="attrition",$D104,IF($C104="attrition",$E104,'參數'!$C$13))</x:f>
        <x:v>1.2000000000000002</x:v>
      </x:c>
      <x:c r="Q104" s="28" t="n">
        <x:f>(J104-M104)*IF($B104="attrition",$D104,IF($C104="attrition",$E104,'參數'!$C$13))</x:f>
        <x:v>1.8</x:v>
      </x:c>
      <x:c r="R104" s="28" t="n">
        <x:f>(K104-N104)*IF($B104="attrition",$D104,IF($C104="attrition",$E104,'參數'!$C$13))</x:f>
        <x:v>8</x:v>
      </x:c>
      <x:c r="S104" s="28" t="n">
        <x:f>I104-L104-P104</x:f>
        <x:v>4.8</x:v>
      </x:c>
      <x:c r="T104" s="28" t="n">
        <x:f>J104-M104-Q104</x:f>
        <x:v>7.2</x:v>
      </x:c>
      <x:c r="U104" s="28" t="n">
        <x:f>K104-N104-R104</x:f>
        <x:v>32</x:v>
      </x:c>
      <x:c r="V104" s="28" t="n">
        <x:f>'參數'!$C$44</x:f>
        <x:v>0</x:v>
      </x:c>
      <x:c r="W104" s="28" t="n">
        <x:f>'參數'!$C$45</x:f>
        <x:v>0</x:v>
      </x:c>
      <x:c r="X104" s="28" t="n">
        <x:f>'參數'!$C$46</x:f>
        <x:v>0</x:v>
      </x:c>
      <x:c r="Y104" s="28" t="n">
        <x:f>V104*IF($B104="relE",$D104,IF($C104="relE",$E104,'參數'!$C$17))+L104*IF($B104="nowE",$D104,IF($C104="nowE",$E104,'參數'!$C$14))</x:f>
        <x:v>4</x:v>
      </x:c>
      <x:c r="Z104" s="28" t="n">
        <x:f>W104*IF($B104="relM",$D104,IF($C104="relM",$E104,'參數'!$C$18))+M104*IF($B104="nowM",$D104,IF($C104="nowM",$E104,'參數'!$C$15))</x:f>
        <x:v>6</x:v>
      </x:c>
      <x:c r="AA104" s="28" t="n">
        <x:f>X104*IF($B104="relA",$D104,IF($C104="relA",$E104,'參數'!$C$19))+N104*IF($B104="nowA",$D104,IF($C104="nowA",$E104,'參數'!$C$16))</x:f>
        <x:v>0</x:v>
      </x:c>
      <x:c r="AB104" s="28" t="n">
        <x:f>Y104+Z104+AA104</x:f>
        <x:v>10</x:v>
      </x:c>
      <x:c r="AC104" s="28" t="n">
        <x:f>IF($B104="capacity",$D104,IF($C104="capacity",$E104,'參數'!$C$20))</x:f>
        <x:v>10</x:v>
      </x:c>
      <x:c r="AD104" s="28" t="n">
        <x:f>IF(AC104=0,0,AB104/AC104)</x:f>
        <x:v>1</x:v>
      </x:c>
      <x:c r="AE104" s="29" t="n">
        <x:f>MAX(0,AD104-1)*IF($B104="congestion",$D104,IF($C104="congestion",$E104,'參數'!$C$28))</x:f>
        <x:v>0</x:v>
      </x:c>
      <x:c r="AF104" s="29" t="n">
        <x:f>1-(1-(IF($B104="gmE",$D104,IF($C104="gmE",$E104,'參數'!$C$21))+IF($B104="shock",$D104,IF($C104="shock",$E104,'參數'!$C$26))))*(1+IF($B104="inflation",$D104,IF($C104="inflation",$E104,'參數'!$C$27)))-AE104</x:f>
        <x:v>0.10499999999999998</x:v>
      </x:c>
      <x:c r="AG104" s="29" t="n">
        <x:f>1-(1-(IF($B104="gmM",$D104,IF($C104="gmM",$E104,'參數'!$C$22))+IF($B104="dev",$D104,IF($C104="dev",$E104,'參數'!$C$23))*IF($B104="devReal",$D104,IF($C104="devReal",$E104,'參數'!$C$24))+IF($B104="shock",$D104,IF($C104="shock",$E104,'參數'!$C$26))))*(1+IF($B104="inflation",$D104,IF($C104="inflation",$E104,'參數'!$C$27)))-AE104</x:f>
        <x:v>0.16500000000000004</x:v>
      </x:c>
      <x:c r="AH104" s="29" t="n">
        <x:f>1-(1-(IF($B104="gmA",$D104,IF($C104="gmA",$E104,'參數'!$C$25))+IF($B104="shock",$D104,IF($C104="shock",$E104,'參數'!$C$26))))*(1+IF($B104="inflation",$D104,IF($C104="inflation",$E104,'參數'!$C$27)))-AE104</x:f>
        <x:v>0.14500000000000002</x:v>
      </x:c>
      <x:c r="AI104" s="29" t="n">
        <x:f>IF(AB104=0,0,(Y104*AF104+Z104*AG104+AA104*AH104)/AB104)</x:f>
        <x:v>0.14100000000000001</x:v>
      </x:c>
      <x:c r="AJ104" s="28" t="n">
        <x:f>'參數'!$C$43</x:f>
        <x:v>1</x:v>
      </x:c>
      <x:c r="AK104" s="28" t="n">
        <x:f>MAX(0,(IF($B104="dso",$D104,IF($C104="dso",$E104,'參數'!$C$32))-(1-AI104)*IF($B104="dpo",$D104,IF($C104="dpo",$E104,'參數'!$C$33)))/365)</x:f>
        <x:v>0.10536986301369863</x:v>
      </x:c>
      <x:c r="AL104" s="28" t="n">
        <x:f>IF(AK104=0,AB104,(MAX(0,AJ104)+IF($B104="credit",$D104,IF($C104="credit",$E104,'參數'!$C$37)))/AK104)</x:f>
        <x:v>37.961518460738425</x:v>
      </x:c>
      <x:c r="AM104" s="28" t="n">
        <x:f>MIN(AB104,AC104,AL104)</x:f>
        <x:v>10</x:v>
      </x:c>
      <x:c r="AN104" s="28" t="n">
        <x:f>IF(AB104=0,0,AM104*Y104/AB104)</x:f>
        <x:v>4</x:v>
      </x:c>
      <x:c r="AO104" s="28" t="n">
        <x:f>IF(AB104=0,0,AM104*Z104/AB104)</x:f>
        <x:v>6</x:v>
      </x:c>
      <x:c r="AP104" s="28" t="n">
        <x:f>IF(AB104=0,0,AM104*AA104/AB104)</x:f>
        <x:v>0</x:v>
      </x:c>
      <x:c r="AQ104" s="28" t="n">
        <x:f>V104+L104-AN104</x:f>
        <x:v>0</x:v>
      </x:c>
      <x:c r="AR104" s="28" t="n">
        <x:f>W104+M104-AO104</x:f>
        <x:v>0</x:v>
      </x:c>
      <x:c r="AS104" s="28" t="n">
        <x:f>X104+N104-AP104</x:f>
        <x:v>10</x:v>
      </x:c>
      <x:c r="AT104" s="28" t="n">
        <x:f>AQ104+AR104+AS104</x:f>
        <x:v>10</x:v>
      </x:c>
      <x:c r="AU104" s="28" t="n">
        <x:f>AN104*(1-AF104)+AO104*(1-AG104)+AP104*(1-AH104)</x:f>
        <x:v>8.59</x:v>
      </x:c>
      <x:c r="AV104" s="28" t="n">
        <x:f>AM104-AU104</x:f>
        <x:v>1.4100000000000001</x:v>
      </x:c>
      <x:c r="AW104" s="29" t="n">
        <x:f>IF(AM104=0,0,AV104/AM104)</x:f>
        <x:v>0.14100000000000001</x:v>
      </x:c>
      <x:c r="AX104" s="28" t="n">
        <x:f>IF($B104="head",$D104,IF($C104="head",$E104,'參數'!$C$29))*IF($B104="wage",$D104,IF($C104="wage",$E104,'參數'!$C$30))</x:f>
        <x:v>0.22</x:v>
      </x:c>
      <x:c r="AY104" s="28" t="n">
        <x:f>IF($B104="opex",$D104,IF($C104="opex",$E104,'參數'!$C$31))</x:f>
        <x:v>0.23</x:v>
      </x:c>
      <x:c r="AZ104" s="28" t="n">
        <x:f>AX104+AY104</x:f>
        <x:v>0.45</x:v>
      </x:c>
      <x:c r="BA104" s="28" t="n">
        <x:f>AV104-AZ104</x:f>
        <x:v>0.9600000000000002</x:v>
      </x:c>
      <x:c r="BB104" s="28" t="n">
        <x:f>AM104*AK104</x:f>
        <x:v>1.0536986301369864</x:v>
      </x:c>
      <x:c r="BC104" s="28" t="n">
        <x:f>0</x:f>
        <x:v>0</x:v>
      </x:c>
      <x:c r="BD104" s="28" t="n">
        <x:f>MAX(0,BB104-MAX(0,AJ104))</x:f>
        <x:v>0.05369863013698639</x:v>
      </x:c>
      <x:c r="BE104" s="28" t="n">
        <x:f>(BC104+BD104)/2</x:f>
        <x:v>0.026849315068493196</x:v>
      </x:c>
      <x:c r="BF104" s="28" t="n">
        <x:f>BE104*IF($B104="rate",$D104,IF($C104="rate",$E104,'參數'!$C$34))</x:f>
        <x:v>0.0010739726027397278</x:v>
      </x:c>
      <x:c r="BG104" s="28" t="n">
        <x:f>IF($B104="nonop",$D104,IF($C104="nonop",$E104,'參數'!$C$36))</x:f>
        <x:v>0.02</x:v>
      </x:c>
      <x:c r="BH104" s="28" t="n">
        <x:f>BA104+BG104-BF104</x:f>
        <x:v>0.9789260273972604</x:v>
      </x:c>
      <x:c r="BI104" s="28" t="n">
        <x:f>MAX(0,BH104)*IF($B104="tax",$D104,IF($C104="tax",$E104,'參數'!$C$35))</x:f>
        <x:v>0.1957852054794521</x:v>
      </x:c>
      <x:c r="BJ104" s="28" t="n">
        <x:f>BH104-BI104</x:f>
        <x:v>0.7831408219178083</x:v>
      </x:c>
      <x:c r="BK104" s="29" t="n">
        <x:f>IF(AM104=0,0,BJ104/AM104)</x:f>
        <x:v>0.07831408219178083</x:v>
      </x:c>
      <x:c r="BL104" s="28" t="n">
        <x:f>IF(BJ104&gt;=0,BJ104*IF($B104="retain",$D104,IF($C104="retain",$E104,'參數'!$C$38)),BJ104)</x:f>
        <x:v>0.39157041095890416</x:v>
      </x:c>
      <x:c r="BM104" s="28" t="n">
        <x:f>AJ104+BL104</x:f>
        <x:v>1.3915704109589042</x:v>
      </x:c>
      <x:c r="BN104" s="28" t="n">
        <x:f>MAX(0,AB104-AC104)</x:f>
        <x:v>0</x:v>
      </x:c>
      <x:c r="BO104" s="28" t="n">
        <x:f>MAX(0,MIN(AB104,AC104)-AM104)</x:f>
        <x:v>0</x:v>
      </x:c>
    </x:row>
    <x:row r="105" ht="24" customHeight="1">
      <x:c r="A105" s="2" t="str">
        <x:v>雙因子2/4</x:v>
      </x:c>
      <x:c r="B105" s="2" t="str">
        <x:v>capacity</x:v>
      </x:c>
      <x:c r="C105" s="2" t="str">
        <x:v>shock</x:v>
      </x:c>
      <x:c r="D105" s="11" t="n">
        <x:f>'雙因子敏感性'!E$6</x:f>
        <x:v>12</x:v>
      </x:c>
      <x:c r="E105" s="11" t="n">
        <x:f>'參數'!C26+'雙因子敏感性'!$A8</x:f>
        <x:v>-0.015</x:v>
      </x:c>
      <x:c r="F105" s="11" t="n">
        <x:f>'參數'!$C$47</x:f>
        <x:v>0</x:v>
      </x:c>
      <x:c r="G105" s="11" t="n">
        <x:f>'參數'!$C$48</x:f>
        <x:v>0</x:v>
      </x:c>
      <x:c r="H105" s="11" t="n">
        <x:f>'參數'!$C$49</x:f>
        <x:v>0</x:v>
      </x:c>
      <x:c r="I105" s="11" t="n">
        <x:f>F105+IF($B105="pE",$D105,IF($C105="pE",$E105,'參數'!$C$5))*IF($B105="scale",$D105,IF($C105="scale",$E105,'參數'!$C$8))</x:f>
        <x:v>10</x:v>
      </x:c>
      <x:c r="J105" s="11" t="n">
        <x:f>G105+IF($B105="pM",$D105,IF($C105="pM",$E105,'參數'!$C$6))*IF($B105="scale",$D105,IF($C105="scale",$E105,'參數'!$C$8))</x:f>
        <x:v>15</x:v>
      </x:c>
      <x:c r="K105" s="11" t="n">
        <x:f>H105+IF($B105="pA",$D105,IF($C105="pA",$E105,'參數'!$C$7))*IF($B105="scale",$D105,IF($C105="scale",$E105,'參數'!$C$8))</x:f>
        <x:v>50</x:v>
      </x:c>
      <x:c r="L105" s="11" t="n">
        <x:f>I105*IF($B105="winE",$D105,IF($C105="winE",$E105,'參數'!$C$9))</x:f>
        <x:v>4</x:v>
      </x:c>
      <x:c r="M105" s="28" t="n">
        <x:f>J105*IF($B105="winM",$D105,IF($C105="winM",$E105,'參數'!$C$10))</x:f>
        <x:v>6</x:v>
      </x:c>
      <x:c r="N105" s="28" t="n">
        <x:f>MIN(K105,IF($B105="readyA",$D105,IF($C105="readyA",$E105,'參數'!$C$11))*IF($B105="gateA",$D105,IF($C105="gateA",$E105,'參數'!$C$12)))</x:f>
        <x:v>10</x:v>
      </x:c>
      <x:c r="O105" s="28" t="n">
        <x:f>L105+M105+N105</x:f>
        <x:v>20</x:v>
      </x:c>
      <x:c r="P105" s="28" t="n">
        <x:f>(I105-L105)*IF($B105="attrition",$D105,IF($C105="attrition",$E105,'參數'!$C$13))</x:f>
        <x:v>1.2000000000000002</x:v>
      </x:c>
      <x:c r="Q105" s="28" t="n">
        <x:f>(J105-M105)*IF($B105="attrition",$D105,IF($C105="attrition",$E105,'參數'!$C$13))</x:f>
        <x:v>1.8</x:v>
      </x:c>
      <x:c r="R105" s="28" t="n">
        <x:f>(K105-N105)*IF($B105="attrition",$D105,IF($C105="attrition",$E105,'參數'!$C$13))</x:f>
        <x:v>8</x:v>
      </x:c>
      <x:c r="S105" s="28" t="n">
        <x:f>I105-L105-P105</x:f>
        <x:v>4.8</x:v>
      </x:c>
      <x:c r="T105" s="28" t="n">
        <x:f>J105-M105-Q105</x:f>
        <x:v>7.2</x:v>
      </x:c>
      <x:c r="U105" s="28" t="n">
        <x:f>K105-N105-R105</x:f>
        <x:v>32</x:v>
      </x:c>
      <x:c r="V105" s="28" t="n">
        <x:f>'參數'!$C$44</x:f>
        <x:v>0</x:v>
      </x:c>
      <x:c r="W105" s="28" t="n">
        <x:f>'參數'!$C$45</x:f>
        <x:v>0</x:v>
      </x:c>
      <x:c r="X105" s="28" t="n">
        <x:f>'參數'!$C$46</x:f>
        <x:v>0</x:v>
      </x:c>
      <x:c r="Y105" s="28" t="n">
        <x:f>V105*IF($B105="relE",$D105,IF($C105="relE",$E105,'參數'!$C$17))+L105*IF($B105="nowE",$D105,IF($C105="nowE",$E105,'參數'!$C$14))</x:f>
        <x:v>4</x:v>
      </x:c>
      <x:c r="Z105" s="28" t="n">
        <x:f>W105*IF($B105="relM",$D105,IF($C105="relM",$E105,'參數'!$C$18))+M105*IF($B105="nowM",$D105,IF($C105="nowM",$E105,'參數'!$C$15))</x:f>
        <x:v>6</x:v>
      </x:c>
      <x:c r="AA105" s="28" t="n">
        <x:f>X105*IF($B105="relA",$D105,IF($C105="relA",$E105,'參數'!$C$19))+N105*IF($B105="nowA",$D105,IF($C105="nowA",$E105,'參數'!$C$16))</x:f>
        <x:v>0</x:v>
      </x:c>
      <x:c r="AB105" s="28" t="n">
        <x:f>Y105+Z105+AA105</x:f>
        <x:v>10</x:v>
      </x:c>
      <x:c r="AC105" s="28" t="n">
        <x:f>IF($B105="capacity",$D105,IF($C105="capacity",$E105,'參數'!$C$20))</x:f>
        <x:v>12</x:v>
      </x:c>
      <x:c r="AD105" s="28" t="n">
        <x:f>IF(AC105=0,0,AB105/AC105)</x:f>
        <x:v>0.8333333333333334</x:v>
      </x:c>
      <x:c r="AE105" s="29" t="n">
        <x:f>MAX(0,AD105-1)*IF($B105="congestion",$D105,IF($C105="congestion",$E105,'參數'!$C$28))</x:f>
        <x:v>0</x:v>
      </x:c>
      <x:c r="AF105" s="29" t="n">
        <x:f>1-(1-(IF($B105="gmE",$D105,IF($C105="gmE",$E105,'參數'!$C$21))+IF($B105="shock",$D105,IF($C105="shock",$E105,'參數'!$C$26))))*(1+IF($B105="inflation",$D105,IF($C105="inflation",$E105,'參數'!$C$27)))-AE105</x:f>
        <x:v>0.10499999999999998</x:v>
      </x:c>
      <x:c r="AG105" s="29" t="n">
        <x:f>1-(1-(IF($B105="gmM",$D105,IF($C105="gmM",$E105,'參數'!$C$22))+IF($B105="dev",$D105,IF($C105="dev",$E105,'參數'!$C$23))*IF($B105="devReal",$D105,IF($C105="devReal",$E105,'參數'!$C$24))+IF($B105="shock",$D105,IF($C105="shock",$E105,'參數'!$C$26))))*(1+IF($B105="inflation",$D105,IF($C105="inflation",$E105,'參數'!$C$27)))-AE105</x:f>
        <x:v>0.16500000000000004</x:v>
      </x:c>
      <x:c r="AH105" s="29" t="n">
        <x:f>1-(1-(IF($B105="gmA",$D105,IF($C105="gmA",$E105,'參數'!$C$25))+IF($B105="shock",$D105,IF($C105="shock",$E105,'參數'!$C$26))))*(1+IF($B105="inflation",$D105,IF($C105="inflation",$E105,'參數'!$C$27)))-AE105</x:f>
        <x:v>0.14500000000000002</x:v>
      </x:c>
      <x:c r="AI105" s="29" t="n">
        <x:f>IF(AB105=0,0,(Y105*AF105+Z105*AG105+AA105*AH105)/AB105)</x:f>
        <x:v>0.14100000000000001</x:v>
      </x:c>
      <x:c r="AJ105" s="28" t="n">
        <x:f>'參數'!$C$43</x:f>
        <x:v>1</x:v>
      </x:c>
      <x:c r="AK105" s="28" t="n">
        <x:f>MAX(0,(IF($B105="dso",$D105,IF($C105="dso",$E105,'參數'!$C$32))-(1-AI105)*IF($B105="dpo",$D105,IF($C105="dpo",$E105,'參數'!$C$33)))/365)</x:f>
        <x:v>0.10536986301369863</x:v>
      </x:c>
      <x:c r="AL105" s="28" t="n">
        <x:f>IF(AK105=0,AB105,(MAX(0,AJ105)+IF($B105="credit",$D105,IF($C105="credit",$E105,'參數'!$C$37)))/AK105)</x:f>
        <x:v>37.961518460738425</x:v>
      </x:c>
      <x:c r="AM105" s="28" t="n">
        <x:f>MIN(AB105,AC105,AL105)</x:f>
        <x:v>10</x:v>
      </x:c>
      <x:c r="AN105" s="28" t="n">
        <x:f>IF(AB105=0,0,AM105*Y105/AB105)</x:f>
        <x:v>4</x:v>
      </x:c>
      <x:c r="AO105" s="28" t="n">
        <x:f>IF(AB105=0,0,AM105*Z105/AB105)</x:f>
        <x:v>6</x:v>
      </x:c>
      <x:c r="AP105" s="28" t="n">
        <x:f>IF(AB105=0,0,AM105*AA105/AB105)</x:f>
        <x:v>0</x:v>
      </x:c>
      <x:c r="AQ105" s="28" t="n">
        <x:f>V105+L105-AN105</x:f>
        <x:v>0</x:v>
      </x:c>
      <x:c r="AR105" s="28" t="n">
        <x:f>W105+M105-AO105</x:f>
        <x:v>0</x:v>
      </x:c>
      <x:c r="AS105" s="28" t="n">
        <x:f>X105+N105-AP105</x:f>
        <x:v>10</x:v>
      </x:c>
      <x:c r="AT105" s="28" t="n">
        <x:f>AQ105+AR105+AS105</x:f>
        <x:v>10</x:v>
      </x:c>
      <x:c r="AU105" s="28" t="n">
        <x:f>AN105*(1-AF105)+AO105*(1-AG105)+AP105*(1-AH105)</x:f>
        <x:v>8.59</x:v>
      </x:c>
      <x:c r="AV105" s="28" t="n">
        <x:f>AM105-AU105</x:f>
        <x:v>1.4100000000000001</x:v>
      </x:c>
      <x:c r="AW105" s="29" t="n">
        <x:f>IF(AM105=0,0,AV105/AM105)</x:f>
        <x:v>0.14100000000000001</x:v>
      </x:c>
      <x:c r="AX105" s="28" t="n">
        <x:f>IF($B105="head",$D105,IF($C105="head",$E105,'參數'!$C$29))*IF($B105="wage",$D105,IF($C105="wage",$E105,'參數'!$C$30))</x:f>
        <x:v>0.22</x:v>
      </x:c>
      <x:c r="AY105" s="28" t="n">
        <x:f>IF($B105="opex",$D105,IF($C105="opex",$E105,'參數'!$C$31))</x:f>
        <x:v>0.23</x:v>
      </x:c>
      <x:c r="AZ105" s="28" t="n">
        <x:f>AX105+AY105</x:f>
        <x:v>0.45</x:v>
      </x:c>
      <x:c r="BA105" s="28" t="n">
        <x:f>AV105-AZ105</x:f>
        <x:v>0.9600000000000002</x:v>
      </x:c>
      <x:c r="BB105" s="28" t="n">
        <x:f>AM105*AK105</x:f>
        <x:v>1.0536986301369864</x:v>
      </x:c>
      <x:c r="BC105" s="28" t="n">
        <x:f>0</x:f>
        <x:v>0</x:v>
      </x:c>
      <x:c r="BD105" s="28" t="n">
        <x:f>MAX(0,BB105-MAX(0,AJ105))</x:f>
        <x:v>0.05369863013698639</x:v>
      </x:c>
      <x:c r="BE105" s="28" t="n">
        <x:f>(BC105+BD105)/2</x:f>
        <x:v>0.026849315068493196</x:v>
      </x:c>
      <x:c r="BF105" s="28" t="n">
        <x:f>BE105*IF($B105="rate",$D105,IF($C105="rate",$E105,'參數'!$C$34))</x:f>
        <x:v>0.0010739726027397278</x:v>
      </x:c>
      <x:c r="BG105" s="28" t="n">
        <x:f>IF($B105="nonop",$D105,IF($C105="nonop",$E105,'參數'!$C$36))</x:f>
        <x:v>0.02</x:v>
      </x:c>
      <x:c r="BH105" s="28" t="n">
        <x:f>BA105+BG105-BF105</x:f>
        <x:v>0.9789260273972604</x:v>
      </x:c>
      <x:c r="BI105" s="28" t="n">
        <x:f>MAX(0,BH105)*IF($B105="tax",$D105,IF($C105="tax",$E105,'參數'!$C$35))</x:f>
        <x:v>0.1957852054794521</x:v>
      </x:c>
      <x:c r="BJ105" s="28" t="n">
        <x:f>BH105-BI105</x:f>
        <x:v>0.7831408219178083</x:v>
      </x:c>
      <x:c r="BK105" s="29" t="n">
        <x:f>IF(AM105=0,0,BJ105/AM105)</x:f>
        <x:v>0.07831408219178083</x:v>
      </x:c>
      <x:c r="BL105" s="28" t="n">
        <x:f>IF(BJ105&gt;=0,BJ105*IF($B105="retain",$D105,IF($C105="retain",$E105,'參數'!$C$38)),BJ105)</x:f>
        <x:v>0.39157041095890416</x:v>
      </x:c>
      <x:c r="BM105" s="28" t="n">
        <x:f>AJ105+BL105</x:f>
        <x:v>1.3915704109589042</x:v>
      </x:c>
      <x:c r="BN105" s="28" t="n">
        <x:f>MAX(0,AB105-AC105)</x:f>
        <x:v>0</x:v>
      </x:c>
      <x:c r="BO105" s="28" t="n">
        <x:f>MAX(0,MIN(AB105,AC105)-AM105)</x:f>
        <x:v>0</x:v>
      </x:c>
    </x:row>
    <x:row r="106" ht="24" customHeight="1">
      <x:c r="A106" s="2" t="str">
        <x:v>雙因子2/5</x:v>
      </x:c>
      <x:c r="B106" s="2" t="str">
        <x:v>capacity</x:v>
      </x:c>
      <x:c r="C106" s="2" t="str">
        <x:v>shock</x:v>
      </x:c>
      <x:c r="D106" s="11" t="n">
        <x:f>'雙因子敏感性'!F$6</x:f>
        <x:v>14</x:v>
      </x:c>
      <x:c r="E106" s="11" t="n">
        <x:f>'參數'!C26+'雙因子敏感性'!$A8</x:f>
        <x:v>-0.015</x:v>
      </x:c>
      <x:c r="F106" s="11" t="n">
        <x:f>'參數'!$C$47</x:f>
        <x:v>0</x:v>
      </x:c>
      <x:c r="G106" s="11" t="n">
        <x:f>'參數'!$C$48</x:f>
        <x:v>0</x:v>
      </x:c>
      <x:c r="H106" s="11" t="n">
        <x:f>'參數'!$C$49</x:f>
        <x:v>0</x:v>
      </x:c>
      <x:c r="I106" s="11" t="n">
        <x:f>F106+IF($B106="pE",$D106,IF($C106="pE",$E106,'參數'!$C$5))*IF($B106="scale",$D106,IF($C106="scale",$E106,'參數'!$C$8))</x:f>
        <x:v>10</x:v>
      </x:c>
      <x:c r="J106" s="11" t="n">
        <x:f>G106+IF($B106="pM",$D106,IF($C106="pM",$E106,'參數'!$C$6))*IF($B106="scale",$D106,IF($C106="scale",$E106,'參數'!$C$8))</x:f>
        <x:v>15</x:v>
      </x:c>
      <x:c r="K106" s="11" t="n">
        <x:f>H106+IF($B106="pA",$D106,IF($C106="pA",$E106,'參數'!$C$7))*IF($B106="scale",$D106,IF($C106="scale",$E106,'參數'!$C$8))</x:f>
        <x:v>50</x:v>
      </x:c>
      <x:c r="L106" s="11" t="n">
        <x:f>I106*IF($B106="winE",$D106,IF($C106="winE",$E106,'參數'!$C$9))</x:f>
        <x:v>4</x:v>
      </x:c>
      <x:c r="M106" s="28" t="n">
        <x:f>J106*IF($B106="winM",$D106,IF($C106="winM",$E106,'參數'!$C$10))</x:f>
        <x:v>6</x:v>
      </x:c>
      <x:c r="N106" s="28" t="n">
        <x:f>MIN(K106,IF($B106="readyA",$D106,IF($C106="readyA",$E106,'參數'!$C$11))*IF($B106="gateA",$D106,IF($C106="gateA",$E106,'參數'!$C$12)))</x:f>
        <x:v>10</x:v>
      </x:c>
      <x:c r="O106" s="28" t="n">
        <x:f>L106+M106+N106</x:f>
        <x:v>20</x:v>
      </x:c>
      <x:c r="P106" s="28" t="n">
        <x:f>(I106-L106)*IF($B106="attrition",$D106,IF($C106="attrition",$E106,'參數'!$C$13))</x:f>
        <x:v>1.2000000000000002</x:v>
      </x:c>
      <x:c r="Q106" s="28" t="n">
        <x:f>(J106-M106)*IF($B106="attrition",$D106,IF($C106="attrition",$E106,'參數'!$C$13))</x:f>
        <x:v>1.8</x:v>
      </x:c>
      <x:c r="R106" s="28" t="n">
        <x:f>(K106-N106)*IF($B106="attrition",$D106,IF($C106="attrition",$E106,'參數'!$C$13))</x:f>
        <x:v>8</x:v>
      </x:c>
      <x:c r="S106" s="28" t="n">
        <x:f>I106-L106-P106</x:f>
        <x:v>4.8</x:v>
      </x:c>
      <x:c r="T106" s="28" t="n">
        <x:f>J106-M106-Q106</x:f>
        <x:v>7.2</x:v>
      </x:c>
      <x:c r="U106" s="28" t="n">
        <x:f>K106-N106-R106</x:f>
        <x:v>32</x:v>
      </x:c>
      <x:c r="V106" s="28" t="n">
        <x:f>'參數'!$C$44</x:f>
        <x:v>0</x:v>
      </x:c>
      <x:c r="W106" s="28" t="n">
        <x:f>'參數'!$C$45</x:f>
        <x:v>0</x:v>
      </x:c>
      <x:c r="X106" s="28" t="n">
        <x:f>'參數'!$C$46</x:f>
        <x:v>0</x:v>
      </x:c>
      <x:c r="Y106" s="28" t="n">
        <x:f>V106*IF($B106="relE",$D106,IF($C106="relE",$E106,'參數'!$C$17))+L106*IF($B106="nowE",$D106,IF($C106="nowE",$E106,'參數'!$C$14))</x:f>
        <x:v>4</x:v>
      </x:c>
      <x:c r="Z106" s="28" t="n">
        <x:f>W106*IF($B106="relM",$D106,IF($C106="relM",$E106,'參數'!$C$18))+M106*IF($B106="nowM",$D106,IF($C106="nowM",$E106,'參數'!$C$15))</x:f>
        <x:v>6</x:v>
      </x:c>
      <x:c r="AA106" s="28" t="n">
        <x:f>X106*IF($B106="relA",$D106,IF($C106="relA",$E106,'參數'!$C$19))+N106*IF($B106="nowA",$D106,IF($C106="nowA",$E106,'參數'!$C$16))</x:f>
        <x:v>0</x:v>
      </x:c>
      <x:c r="AB106" s="28" t="n">
        <x:f>Y106+Z106+AA106</x:f>
        <x:v>10</x:v>
      </x:c>
      <x:c r="AC106" s="28" t="n">
        <x:f>IF($B106="capacity",$D106,IF($C106="capacity",$E106,'參數'!$C$20))</x:f>
        <x:v>14</x:v>
      </x:c>
      <x:c r="AD106" s="28" t="n">
        <x:f>IF(AC106=0,0,AB106/AC106)</x:f>
        <x:v>0.7142857142857143</x:v>
      </x:c>
      <x:c r="AE106" s="29" t="n">
        <x:f>MAX(0,AD106-1)*IF($B106="congestion",$D106,IF($C106="congestion",$E106,'參數'!$C$28))</x:f>
        <x:v>0</x:v>
      </x:c>
      <x:c r="AF106" s="29" t="n">
        <x:f>1-(1-(IF($B106="gmE",$D106,IF($C106="gmE",$E106,'參數'!$C$21))+IF($B106="shock",$D106,IF($C106="shock",$E106,'參數'!$C$26))))*(1+IF($B106="inflation",$D106,IF($C106="inflation",$E106,'參數'!$C$27)))-AE106</x:f>
        <x:v>0.10499999999999998</x:v>
      </x:c>
      <x:c r="AG106" s="29" t="n">
        <x:f>1-(1-(IF($B106="gmM",$D106,IF($C106="gmM",$E106,'參數'!$C$22))+IF($B106="dev",$D106,IF($C106="dev",$E106,'參數'!$C$23))*IF($B106="devReal",$D106,IF($C106="devReal",$E106,'參數'!$C$24))+IF($B106="shock",$D106,IF($C106="shock",$E106,'參數'!$C$26))))*(1+IF($B106="inflation",$D106,IF($C106="inflation",$E106,'參數'!$C$27)))-AE106</x:f>
        <x:v>0.16500000000000004</x:v>
      </x:c>
      <x:c r="AH106" s="29" t="n">
        <x:f>1-(1-(IF($B106="gmA",$D106,IF($C106="gmA",$E106,'參數'!$C$25))+IF($B106="shock",$D106,IF($C106="shock",$E106,'參數'!$C$26))))*(1+IF($B106="inflation",$D106,IF($C106="inflation",$E106,'參數'!$C$27)))-AE106</x:f>
        <x:v>0.14500000000000002</x:v>
      </x:c>
      <x:c r="AI106" s="29" t="n">
        <x:f>IF(AB106=0,0,(Y106*AF106+Z106*AG106+AA106*AH106)/AB106)</x:f>
        <x:v>0.14100000000000001</x:v>
      </x:c>
      <x:c r="AJ106" s="28" t="n">
        <x:f>'參數'!$C$43</x:f>
        <x:v>1</x:v>
      </x:c>
      <x:c r="AK106" s="28" t="n">
        <x:f>MAX(0,(IF($B106="dso",$D106,IF($C106="dso",$E106,'參數'!$C$32))-(1-AI106)*IF($B106="dpo",$D106,IF($C106="dpo",$E106,'參數'!$C$33)))/365)</x:f>
        <x:v>0.10536986301369863</x:v>
      </x:c>
      <x:c r="AL106" s="28" t="n">
        <x:f>IF(AK106=0,AB106,(MAX(0,AJ106)+IF($B106="credit",$D106,IF($C106="credit",$E106,'參數'!$C$37)))/AK106)</x:f>
        <x:v>37.961518460738425</x:v>
      </x:c>
      <x:c r="AM106" s="28" t="n">
        <x:f>MIN(AB106,AC106,AL106)</x:f>
        <x:v>10</x:v>
      </x:c>
      <x:c r="AN106" s="28" t="n">
        <x:f>IF(AB106=0,0,AM106*Y106/AB106)</x:f>
        <x:v>4</x:v>
      </x:c>
      <x:c r="AO106" s="28" t="n">
        <x:f>IF(AB106=0,0,AM106*Z106/AB106)</x:f>
        <x:v>6</x:v>
      </x:c>
      <x:c r="AP106" s="28" t="n">
        <x:f>IF(AB106=0,0,AM106*AA106/AB106)</x:f>
        <x:v>0</x:v>
      </x:c>
      <x:c r="AQ106" s="28" t="n">
        <x:f>V106+L106-AN106</x:f>
        <x:v>0</x:v>
      </x:c>
      <x:c r="AR106" s="28" t="n">
        <x:f>W106+M106-AO106</x:f>
        <x:v>0</x:v>
      </x:c>
      <x:c r="AS106" s="28" t="n">
        <x:f>X106+N106-AP106</x:f>
        <x:v>10</x:v>
      </x:c>
      <x:c r="AT106" s="28" t="n">
        <x:f>AQ106+AR106+AS106</x:f>
        <x:v>10</x:v>
      </x:c>
      <x:c r="AU106" s="28" t="n">
        <x:f>AN106*(1-AF106)+AO106*(1-AG106)+AP106*(1-AH106)</x:f>
        <x:v>8.59</x:v>
      </x:c>
      <x:c r="AV106" s="28" t="n">
        <x:f>AM106-AU106</x:f>
        <x:v>1.4100000000000001</x:v>
      </x:c>
      <x:c r="AW106" s="29" t="n">
        <x:f>IF(AM106=0,0,AV106/AM106)</x:f>
        <x:v>0.14100000000000001</x:v>
      </x:c>
      <x:c r="AX106" s="28" t="n">
        <x:f>IF($B106="head",$D106,IF($C106="head",$E106,'參數'!$C$29))*IF($B106="wage",$D106,IF($C106="wage",$E106,'參數'!$C$30))</x:f>
        <x:v>0.22</x:v>
      </x:c>
      <x:c r="AY106" s="28" t="n">
        <x:f>IF($B106="opex",$D106,IF($C106="opex",$E106,'參數'!$C$31))</x:f>
        <x:v>0.23</x:v>
      </x:c>
      <x:c r="AZ106" s="28" t="n">
        <x:f>AX106+AY106</x:f>
        <x:v>0.45</x:v>
      </x:c>
      <x:c r="BA106" s="28" t="n">
        <x:f>AV106-AZ106</x:f>
        <x:v>0.9600000000000002</x:v>
      </x:c>
      <x:c r="BB106" s="28" t="n">
        <x:f>AM106*AK106</x:f>
        <x:v>1.0536986301369864</x:v>
      </x:c>
      <x:c r="BC106" s="28" t="n">
        <x:f>0</x:f>
        <x:v>0</x:v>
      </x:c>
      <x:c r="BD106" s="28" t="n">
        <x:f>MAX(0,BB106-MAX(0,AJ106))</x:f>
        <x:v>0.05369863013698639</x:v>
      </x:c>
      <x:c r="BE106" s="28" t="n">
        <x:f>(BC106+BD106)/2</x:f>
        <x:v>0.026849315068493196</x:v>
      </x:c>
      <x:c r="BF106" s="28" t="n">
        <x:f>BE106*IF($B106="rate",$D106,IF($C106="rate",$E106,'參數'!$C$34))</x:f>
        <x:v>0.0010739726027397278</x:v>
      </x:c>
      <x:c r="BG106" s="28" t="n">
        <x:f>IF($B106="nonop",$D106,IF($C106="nonop",$E106,'參數'!$C$36))</x:f>
        <x:v>0.02</x:v>
      </x:c>
      <x:c r="BH106" s="28" t="n">
        <x:f>BA106+BG106-BF106</x:f>
        <x:v>0.9789260273972604</x:v>
      </x:c>
      <x:c r="BI106" s="28" t="n">
        <x:f>MAX(0,BH106)*IF($B106="tax",$D106,IF($C106="tax",$E106,'參數'!$C$35))</x:f>
        <x:v>0.1957852054794521</x:v>
      </x:c>
      <x:c r="BJ106" s="28" t="n">
        <x:f>BH106-BI106</x:f>
        <x:v>0.7831408219178083</x:v>
      </x:c>
      <x:c r="BK106" s="29" t="n">
        <x:f>IF(AM106=0,0,BJ106/AM106)</x:f>
        <x:v>0.07831408219178083</x:v>
      </x:c>
      <x:c r="BL106" s="28" t="n">
        <x:f>IF(BJ106&gt;=0,BJ106*IF($B106="retain",$D106,IF($C106="retain",$E106,'參數'!$C$38)),BJ106)</x:f>
        <x:v>0.39157041095890416</x:v>
      </x:c>
      <x:c r="BM106" s="28" t="n">
        <x:f>AJ106+BL106</x:f>
        <x:v>1.3915704109589042</x:v>
      </x:c>
      <x:c r="BN106" s="28" t="n">
        <x:f>MAX(0,AB106-AC106)</x:f>
        <x:v>0</x:v>
      </x:c>
      <x:c r="BO106" s="28" t="n">
        <x:f>MAX(0,MIN(AB106,AC106)-AM106)</x:f>
        <x:v>0</x:v>
      </x:c>
    </x:row>
    <x:row r="107" ht="24" customHeight="1">
      <x:c r="A107" s="2" t="str">
        <x:v>雙因子3/1</x:v>
      </x:c>
      <x:c r="B107" s="2" t="str">
        <x:v>capacity</x:v>
      </x:c>
      <x:c r="C107" s="2" t="str">
        <x:v>shock</x:v>
      </x:c>
      <x:c r="D107" s="11" t="n">
        <x:f>'雙因子敏感性'!B$6</x:f>
        <x:v>6</x:v>
      </x:c>
      <x:c r="E107" s="11" t="n">
        <x:f>'參數'!C26+'雙因子敏感性'!$A9</x:f>
        <x:v>0</x:v>
      </x:c>
      <x:c r="F107" s="11" t="n">
        <x:f>'參數'!$C$47</x:f>
        <x:v>0</x:v>
      </x:c>
      <x:c r="G107" s="11" t="n">
        <x:f>'參數'!$C$48</x:f>
        <x:v>0</x:v>
      </x:c>
      <x:c r="H107" s="11" t="n">
        <x:f>'參數'!$C$49</x:f>
        <x:v>0</x:v>
      </x:c>
      <x:c r="I107" s="11" t="n">
        <x:f>F107+IF($B107="pE",$D107,IF($C107="pE",$E107,'參數'!$C$5))*IF($B107="scale",$D107,IF($C107="scale",$E107,'參數'!$C$8))</x:f>
        <x:v>10</x:v>
      </x:c>
      <x:c r="J107" s="11" t="n">
        <x:f>G107+IF($B107="pM",$D107,IF($C107="pM",$E107,'參數'!$C$6))*IF($B107="scale",$D107,IF($C107="scale",$E107,'參數'!$C$8))</x:f>
        <x:v>15</x:v>
      </x:c>
      <x:c r="K107" s="11" t="n">
        <x:f>H107+IF($B107="pA",$D107,IF($C107="pA",$E107,'參數'!$C$7))*IF($B107="scale",$D107,IF($C107="scale",$E107,'參數'!$C$8))</x:f>
        <x:v>50</x:v>
      </x:c>
      <x:c r="L107" s="11" t="n">
        <x:f>I107*IF($B107="winE",$D107,IF($C107="winE",$E107,'參數'!$C$9))</x:f>
        <x:v>4</x:v>
      </x:c>
      <x:c r="M107" s="28" t="n">
        <x:f>J107*IF($B107="winM",$D107,IF($C107="winM",$E107,'參數'!$C$10))</x:f>
        <x:v>6</x:v>
      </x:c>
      <x:c r="N107" s="28" t="n">
        <x:f>MIN(K107,IF($B107="readyA",$D107,IF($C107="readyA",$E107,'參數'!$C$11))*IF($B107="gateA",$D107,IF($C107="gateA",$E107,'參數'!$C$12)))</x:f>
        <x:v>10</x:v>
      </x:c>
      <x:c r="O107" s="28" t="n">
        <x:f>L107+M107+N107</x:f>
        <x:v>20</x:v>
      </x:c>
      <x:c r="P107" s="28" t="n">
        <x:f>(I107-L107)*IF($B107="attrition",$D107,IF($C107="attrition",$E107,'參數'!$C$13))</x:f>
        <x:v>1.2000000000000002</x:v>
      </x:c>
      <x:c r="Q107" s="28" t="n">
        <x:f>(J107-M107)*IF($B107="attrition",$D107,IF($C107="attrition",$E107,'參數'!$C$13))</x:f>
        <x:v>1.8</x:v>
      </x:c>
      <x:c r="R107" s="28" t="n">
        <x:f>(K107-N107)*IF($B107="attrition",$D107,IF($C107="attrition",$E107,'參數'!$C$13))</x:f>
        <x:v>8</x:v>
      </x:c>
      <x:c r="S107" s="28" t="n">
        <x:f>I107-L107-P107</x:f>
        <x:v>4.8</x:v>
      </x:c>
      <x:c r="T107" s="28" t="n">
        <x:f>J107-M107-Q107</x:f>
        <x:v>7.2</x:v>
      </x:c>
      <x:c r="U107" s="28" t="n">
        <x:f>K107-N107-R107</x:f>
        <x:v>32</x:v>
      </x:c>
      <x:c r="V107" s="28" t="n">
        <x:f>'參數'!$C$44</x:f>
        <x:v>0</x:v>
      </x:c>
      <x:c r="W107" s="28" t="n">
        <x:f>'參數'!$C$45</x:f>
        <x:v>0</x:v>
      </x:c>
      <x:c r="X107" s="28" t="n">
        <x:f>'參數'!$C$46</x:f>
        <x:v>0</x:v>
      </x:c>
      <x:c r="Y107" s="28" t="n">
        <x:f>V107*IF($B107="relE",$D107,IF($C107="relE",$E107,'參數'!$C$17))+L107*IF($B107="nowE",$D107,IF($C107="nowE",$E107,'參數'!$C$14))</x:f>
        <x:v>4</x:v>
      </x:c>
      <x:c r="Z107" s="28" t="n">
        <x:f>W107*IF($B107="relM",$D107,IF($C107="relM",$E107,'參數'!$C$18))+M107*IF($B107="nowM",$D107,IF($C107="nowM",$E107,'參數'!$C$15))</x:f>
        <x:v>6</x:v>
      </x:c>
      <x:c r="AA107" s="28" t="n">
        <x:f>X107*IF($B107="relA",$D107,IF($C107="relA",$E107,'參數'!$C$19))+N107*IF($B107="nowA",$D107,IF($C107="nowA",$E107,'參數'!$C$16))</x:f>
        <x:v>0</x:v>
      </x:c>
      <x:c r="AB107" s="28" t="n">
        <x:f>Y107+Z107+AA107</x:f>
        <x:v>10</x:v>
      </x:c>
      <x:c r="AC107" s="28" t="n">
        <x:f>IF($B107="capacity",$D107,IF($C107="capacity",$E107,'參數'!$C$20))</x:f>
        <x:v>6</x:v>
      </x:c>
      <x:c r="AD107" s="28" t="n">
        <x:f>IF(AC107=0,0,AB107/AC107)</x:f>
        <x:v>1.6666666666666667</x:v>
      </x:c>
      <x:c r="AE107" s="29" t="n">
        <x:f>MAX(0,AD107-1)*IF($B107="congestion",$D107,IF($C107="congestion",$E107,'參數'!$C$28))</x:f>
        <x:v>0.006666666666666668</x:v>
      </x:c>
      <x:c r="AF107" s="29" t="n">
        <x:f>1-(1-(IF($B107="gmE",$D107,IF($C107="gmE",$E107,'參數'!$C$21))+IF($B107="shock",$D107,IF($C107="shock",$E107,'參數'!$C$26))))*(1+IF($B107="inflation",$D107,IF($C107="inflation",$E107,'參數'!$C$27)))-AE107</x:f>
        <x:v>0.11333333333333333</x:v>
      </x:c>
      <x:c r="AG107" s="29" t="n">
        <x:f>1-(1-(IF($B107="gmM",$D107,IF($C107="gmM",$E107,'參數'!$C$22))+IF($B107="dev",$D107,IF($C107="dev",$E107,'參數'!$C$23))*IF($B107="devReal",$D107,IF($C107="devReal",$E107,'參數'!$C$24))+IF($B107="shock",$D107,IF($C107="shock",$E107,'參數'!$C$26))))*(1+IF($B107="inflation",$D107,IF($C107="inflation",$E107,'參數'!$C$27)))-AE107</x:f>
        <x:v>0.17333333333333328</x:v>
      </x:c>
      <x:c r="AH107" s="29" t="n">
        <x:f>1-(1-(IF($B107="gmA",$D107,IF($C107="gmA",$E107,'參數'!$C$25))+IF($B107="shock",$D107,IF($C107="shock",$E107,'參數'!$C$26))))*(1+IF($B107="inflation",$D107,IF($C107="inflation",$E107,'參數'!$C$27)))-AE107</x:f>
        <x:v>0.15333333333333338</x:v>
      </x:c>
      <x:c r="AI107" s="29" t="n">
        <x:f>IF(AB107=0,0,(Y107*AF107+Z107*AG107+AA107*AH107)/AB107)</x:f>
        <x:v>0.1493333333333333</x:v>
      </x:c>
      <x:c r="AJ107" s="28" t="n">
        <x:f>'參數'!$C$43</x:f>
        <x:v>1</x:v>
      </x:c>
      <x:c r="AK107" s="28" t="n">
        <x:f>MAX(0,(IF($B107="dso",$D107,IF($C107="dso",$E107,'參數'!$C$32))-(1-AI107)*IF($B107="dpo",$D107,IF($C107="dpo",$E107,'參數'!$C$33)))/365)</x:f>
        <x:v>0.10673972602739726</x:v>
      </x:c>
      <x:c r="AL107" s="28" t="n">
        <x:f>IF(AK107=0,AB107,(MAX(0,AJ107)+IF($B107="credit",$D107,IF($C107="credit",$E107,'參數'!$C$37)))/AK107)</x:f>
        <x:v>37.474332648870636</x:v>
      </x:c>
      <x:c r="AM107" s="28" t="n">
        <x:f>MIN(AB107,AC107,AL107)</x:f>
        <x:v>6</x:v>
      </x:c>
      <x:c r="AN107" s="28" t="n">
        <x:f>IF(AB107=0,0,AM107*Y107/AB107)</x:f>
        <x:v>2.4</x:v>
      </x:c>
      <x:c r="AO107" s="28" t="n">
        <x:f>IF(AB107=0,0,AM107*Z107/AB107)</x:f>
        <x:v>3.6</x:v>
      </x:c>
      <x:c r="AP107" s="28" t="n">
        <x:f>IF(AB107=0,0,AM107*AA107/AB107)</x:f>
        <x:v>0</x:v>
      </x:c>
      <x:c r="AQ107" s="28" t="n">
        <x:f>V107+L107-AN107</x:f>
        <x:v>1.6</x:v>
      </x:c>
      <x:c r="AR107" s="28" t="n">
        <x:f>W107+M107-AO107</x:f>
        <x:v>2.4</x:v>
      </x:c>
      <x:c r="AS107" s="28" t="n">
        <x:f>X107+N107-AP107</x:f>
        <x:v>10</x:v>
      </x:c>
      <x:c r="AT107" s="28" t="n">
        <x:f>AQ107+AR107+AS107</x:f>
        <x:v>14</x:v>
      </x:c>
      <x:c r="AU107" s="28" t="n">
        <x:f>AN107*(1-AF107)+AO107*(1-AG107)+AP107*(1-AH107)</x:f>
        <x:v>5.104</x:v>
      </x:c>
      <x:c r="AV107" s="28" t="n">
        <x:f>AM107-AU107</x:f>
        <x:v>0.8959999999999999</x:v>
      </x:c>
      <x:c r="AW107" s="29" t="n">
        <x:f>IF(AM107=0,0,AV107/AM107)</x:f>
        <x:v>0.14933333333333332</x:v>
      </x:c>
      <x:c r="AX107" s="28" t="n">
        <x:f>IF($B107="head",$D107,IF($C107="head",$E107,'參數'!$C$29))*IF($B107="wage",$D107,IF($C107="wage",$E107,'參數'!$C$30))</x:f>
        <x:v>0.22</x:v>
      </x:c>
      <x:c r="AY107" s="28" t="n">
        <x:f>IF($B107="opex",$D107,IF($C107="opex",$E107,'參數'!$C$31))</x:f>
        <x:v>0.23</x:v>
      </x:c>
      <x:c r="AZ107" s="28" t="n">
        <x:f>AX107+AY107</x:f>
        <x:v>0.45</x:v>
      </x:c>
      <x:c r="BA107" s="28" t="n">
        <x:f>AV107-AZ107</x:f>
        <x:v>0.4459999999999999</x:v>
      </x:c>
      <x:c r="BB107" s="28" t="n">
        <x:f>AM107*AK107</x:f>
        <x:v>0.6404383561643836</x:v>
      </x:c>
      <x:c r="BC107" s="28" t="n">
        <x:f>0</x:f>
        <x:v>0</x:v>
      </x:c>
      <x:c r="BD107" s="28" t="n">
        <x:f>MAX(0,BB107-MAX(0,AJ107))</x:f>
        <x:v>0</x:v>
      </x:c>
      <x:c r="BE107" s="28" t="n">
        <x:f>(BC107+BD107)/2</x:f>
        <x:v>0</x:v>
      </x:c>
      <x:c r="BF107" s="28" t="n">
        <x:f>BE107*IF($B107="rate",$D107,IF($C107="rate",$E107,'參數'!$C$34))</x:f>
        <x:v>0</x:v>
      </x:c>
      <x:c r="BG107" s="28" t="n">
        <x:f>IF($B107="nonop",$D107,IF($C107="nonop",$E107,'參數'!$C$36))</x:f>
        <x:v>0.02</x:v>
      </x:c>
      <x:c r="BH107" s="28" t="n">
        <x:f>BA107+BG107-BF107</x:f>
        <x:v>0.4659999999999999</x:v>
      </x:c>
      <x:c r="BI107" s="28" t="n">
        <x:f>MAX(0,BH107)*IF($B107="tax",$D107,IF($C107="tax",$E107,'參數'!$C$35))</x:f>
        <x:v>0.09319999999999999</x:v>
      </x:c>
      <x:c r="BJ107" s="28" t="n">
        <x:f>BH107-BI107</x:f>
        <x:v>0.3727999999999999</x:v>
      </x:c>
      <x:c r="BK107" s="29" t="n">
        <x:f>IF(AM107=0,0,BJ107/AM107)</x:f>
        <x:v>0.06213333333333332</x:v>
      </x:c>
      <x:c r="BL107" s="28" t="n">
        <x:f>IF(BJ107&gt;=0,BJ107*IF($B107="retain",$D107,IF($C107="retain",$E107,'參數'!$C$38)),BJ107)</x:f>
        <x:v>0.18639999999999995</x:v>
      </x:c>
      <x:c r="BM107" s="28" t="n">
        <x:f>AJ107+BL107</x:f>
        <x:v>1.1864</x:v>
      </x:c>
      <x:c r="BN107" s="28" t="n">
        <x:f>MAX(0,AB107-AC107)</x:f>
        <x:v>4</x:v>
      </x:c>
      <x:c r="BO107" s="28" t="n">
        <x:f>MAX(0,MIN(AB107,AC107)-AM107)</x:f>
        <x:v>0</x:v>
      </x:c>
    </x:row>
    <x:row r="108" ht="24" customHeight="1">
      <x:c r="A108" s="2" t="str">
        <x:v>雙因子3/2</x:v>
      </x:c>
      <x:c r="B108" s="2" t="str">
        <x:v>capacity</x:v>
      </x:c>
      <x:c r="C108" s="2" t="str">
        <x:v>shock</x:v>
      </x:c>
      <x:c r="D108" s="11" t="n">
        <x:f>'雙因子敏感性'!C$6</x:f>
        <x:v>8</x:v>
      </x:c>
      <x:c r="E108" s="11" t="n">
        <x:f>'參數'!C26+'雙因子敏感性'!$A9</x:f>
        <x:v>0</x:v>
      </x:c>
      <x:c r="F108" s="11" t="n">
        <x:f>'參數'!$C$47</x:f>
        <x:v>0</x:v>
      </x:c>
      <x:c r="G108" s="11" t="n">
        <x:f>'參數'!$C$48</x:f>
        <x:v>0</x:v>
      </x:c>
      <x:c r="H108" s="11" t="n">
        <x:f>'參數'!$C$49</x:f>
        <x:v>0</x:v>
      </x:c>
      <x:c r="I108" s="11" t="n">
        <x:f>F108+IF($B108="pE",$D108,IF($C108="pE",$E108,'參數'!$C$5))*IF($B108="scale",$D108,IF($C108="scale",$E108,'參數'!$C$8))</x:f>
        <x:v>10</x:v>
      </x:c>
      <x:c r="J108" s="11" t="n">
        <x:f>G108+IF($B108="pM",$D108,IF($C108="pM",$E108,'參數'!$C$6))*IF($B108="scale",$D108,IF($C108="scale",$E108,'參數'!$C$8))</x:f>
        <x:v>15</x:v>
      </x:c>
      <x:c r="K108" s="11" t="n">
        <x:f>H108+IF($B108="pA",$D108,IF($C108="pA",$E108,'參數'!$C$7))*IF($B108="scale",$D108,IF($C108="scale",$E108,'參數'!$C$8))</x:f>
        <x:v>50</x:v>
      </x:c>
      <x:c r="L108" s="11" t="n">
        <x:f>I108*IF($B108="winE",$D108,IF($C108="winE",$E108,'參數'!$C$9))</x:f>
        <x:v>4</x:v>
      </x:c>
      <x:c r="M108" s="28" t="n">
        <x:f>J108*IF($B108="winM",$D108,IF($C108="winM",$E108,'參數'!$C$10))</x:f>
        <x:v>6</x:v>
      </x:c>
      <x:c r="N108" s="28" t="n">
        <x:f>MIN(K108,IF($B108="readyA",$D108,IF($C108="readyA",$E108,'參數'!$C$11))*IF($B108="gateA",$D108,IF($C108="gateA",$E108,'參數'!$C$12)))</x:f>
        <x:v>10</x:v>
      </x:c>
      <x:c r="O108" s="28" t="n">
        <x:f>L108+M108+N108</x:f>
        <x:v>20</x:v>
      </x:c>
      <x:c r="P108" s="28" t="n">
        <x:f>(I108-L108)*IF($B108="attrition",$D108,IF($C108="attrition",$E108,'參數'!$C$13))</x:f>
        <x:v>1.2000000000000002</x:v>
      </x:c>
      <x:c r="Q108" s="28" t="n">
        <x:f>(J108-M108)*IF($B108="attrition",$D108,IF($C108="attrition",$E108,'參數'!$C$13))</x:f>
        <x:v>1.8</x:v>
      </x:c>
      <x:c r="R108" s="28" t="n">
        <x:f>(K108-N108)*IF($B108="attrition",$D108,IF($C108="attrition",$E108,'參數'!$C$13))</x:f>
        <x:v>8</x:v>
      </x:c>
      <x:c r="S108" s="28" t="n">
        <x:f>I108-L108-P108</x:f>
        <x:v>4.8</x:v>
      </x:c>
      <x:c r="T108" s="28" t="n">
        <x:f>J108-M108-Q108</x:f>
        <x:v>7.2</x:v>
      </x:c>
      <x:c r="U108" s="28" t="n">
        <x:f>K108-N108-R108</x:f>
        <x:v>32</x:v>
      </x:c>
      <x:c r="V108" s="28" t="n">
        <x:f>'參數'!$C$44</x:f>
        <x:v>0</x:v>
      </x:c>
      <x:c r="W108" s="28" t="n">
        <x:f>'參數'!$C$45</x:f>
        <x:v>0</x:v>
      </x:c>
      <x:c r="X108" s="28" t="n">
        <x:f>'參數'!$C$46</x:f>
        <x:v>0</x:v>
      </x:c>
      <x:c r="Y108" s="28" t="n">
        <x:f>V108*IF($B108="relE",$D108,IF($C108="relE",$E108,'參數'!$C$17))+L108*IF($B108="nowE",$D108,IF($C108="nowE",$E108,'參數'!$C$14))</x:f>
        <x:v>4</x:v>
      </x:c>
      <x:c r="Z108" s="28" t="n">
        <x:f>W108*IF($B108="relM",$D108,IF($C108="relM",$E108,'參數'!$C$18))+M108*IF($B108="nowM",$D108,IF($C108="nowM",$E108,'參數'!$C$15))</x:f>
        <x:v>6</x:v>
      </x:c>
      <x:c r="AA108" s="28" t="n">
        <x:f>X108*IF($B108="relA",$D108,IF($C108="relA",$E108,'參數'!$C$19))+N108*IF($B108="nowA",$D108,IF($C108="nowA",$E108,'參數'!$C$16))</x:f>
        <x:v>0</x:v>
      </x:c>
      <x:c r="AB108" s="28" t="n">
        <x:f>Y108+Z108+AA108</x:f>
        <x:v>10</x:v>
      </x:c>
      <x:c r="AC108" s="28" t="n">
        <x:f>IF($B108="capacity",$D108,IF($C108="capacity",$E108,'參數'!$C$20))</x:f>
        <x:v>8</x:v>
      </x:c>
      <x:c r="AD108" s="28" t="n">
        <x:f>IF(AC108=0,0,AB108/AC108)</x:f>
        <x:v>1.25</x:v>
      </x:c>
      <x:c r="AE108" s="29" t="n">
        <x:f>MAX(0,AD108-1)*IF($B108="congestion",$D108,IF($C108="congestion",$E108,'參數'!$C$28))</x:f>
        <x:v>0.0025</x:v>
      </x:c>
      <x:c r="AF108" s="29" t="n">
        <x:f>1-(1-(IF($B108="gmE",$D108,IF($C108="gmE",$E108,'參數'!$C$21))+IF($B108="shock",$D108,IF($C108="shock",$E108,'參數'!$C$26))))*(1+IF($B108="inflation",$D108,IF($C108="inflation",$E108,'參數'!$C$27)))-AE108</x:f>
        <x:v>0.1175</x:v>
      </x:c>
      <x:c r="AG108" s="29" t="n">
        <x:f>1-(1-(IF($B108="gmM",$D108,IF($C108="gmM",$E108,'參數'!$C$22))+IF($B108="dev",$D108,IF($C108="dev",$E108,'參數'!$C$23))*IF($B108="devReal",$D108,IF($C108="devReal",$E108,'參數'!$C$24))+IF($B108="shock",$D108,IF($C108="shock",$E108,'參數'!$C$26))))*(1+IF($B108="inflation",$D108,IF($C108="inflation",$E108,'參數'!$C$27)))-AE108</x:f>
        <x:v>0.17749999999999994</x:v>
      </x:c>
      <x:c r="AH108" s="29" t="n">
        <x:f>1-(1-(IF($B108="gmA",$D108,IF($C108="gmA",$E108,'參數'!$C$25))+IF($B108="shock",$D108,IF($C108="shock",$E108,'參數'!$C$26))))*(1+IF($B108="inflation",$D108,IF($C108="inflation",$E108,'參數'!$C$27)))-AE108</x:f>
        <x:v>0.15750000000000003</x:v>
      </x:c>
      <x:c r="AI108" s="29" t="n">
        <x:f>IF(AB108=0,0,(Y108*AF108+Z108*AG108+AA108*AH108)/AB108)</x:f>
        <x:v>0.15349999999999994</x:v>
      </x:c>
      <x:c r="AJ108" s="28" t="n">
        <x:f>'參數'!$C$43</x:f>
        <x:v>1</x:v>
      </x:c>
      <x:c r="AK108" s="28" t="n">
        <x:f>MAX(0,(IF($B108="dso",$D108,IF($C108="dso",$E108,'參數'!$C$32))-(1-AI108)*IF($B108="dpo",$D108,IF($C108="dpo",$E108,'參數'!$C$33)))/365)</x:f>
        <x:v>0.10742465753424658</x:v>
      </x:c>
      <x:c r="AL108" s="28" t="n">
        <x:f>IF(AK108=0,AB108,(MAX(0,AJ108)+IF($B108="credit",$D108,IF($C108="credit",$E108,'參數'!$C$37)))/AK108)</x:f>
        <x:v>37.235399132874264</x:v>
      </x:c>
      <x:c r="AM108" s="28" t="n">
        <x:f>MIN(AB108,AC108,AL108)</x:f>
        <x:v>8</x:v>
      </x:c>
      <x:c r="AN108" s="28" t="n">
        <x:f>IF(AB108=0,0,AM108*Y108/AB108)</x:f>
        <x:v>3.2</x:v>
      </x:c>
      <x:c r="AO108" s="28" t="n">
        <x:f>IF(AB108=0,0,AM108*Z108/AB108)</x:f>
        <x:v>4.8</x:v>
      </x:c>
      <x:c r="AP108" s="28" t="n">
        <x:f>IF(AB108=0,0,AM108*AA108/AB108)</x:f>
        <x:v>0</x:v>
      </x:c>
      <x:c r="AQ108" s="28" t="n">
        <x:f>V108+L108-AN108</x:f>
        <x:v>0.7999999999999998</x:v>
      </x:c>
      <x:c r="AR108" s="28" t="n">
        <x:f>W108+M108-AO108</x:f>
        <x:v>1.2000000000000002</x:v>
      </x:c>
      <x:c r="AS108" s="28" t="n">
        <x:f>X108+N108-AP108</x:f>
        <x:v>10</x:v>
      </x:c>
      <x:c r="AT108" s="28" t="n">
        <x:f>AQ108+AR108+AS108</x:f>
        <x:v>12</x:v>
      </x:c>
      <x:c r="AU108" s="28" t="n">
        <x:f>AN108*(1-AF108)+AO108*(1-AG108)+AP108*(1-AH108)</x:f>
        <x:v>6.772</x:v>
      </x:c>
      <x:c r="AV108" s="28" t="n">
        <x:f>AM108-AU108</x:f>
        <x:v>1.2279999999999998</x:v>
      </x:c>
      <x:c r="AW108" s="29" t="n">
        <x:f>IF(AM108=0,0,AV108/AM108)</x:f>
        <x:v>0.15349999999999997</x:v>
      </x:c>
      <x:c r="AX108" s="28" t="n">
        <x:f>IF($B108="head",$D108,IF($C108="head",$E108,'參數'!$C$29))*IF($B108="wage",$D108,IF($C108="wage",$E108,'參數'!$C$30))</x:f>
        <x:v>0.22</x:v>
      </x:c>
      <x:c r="AY108" s="28" t="n">
        <x:f>IF($B108="opex",$D108,IF($C108="opex",$E108,'參數'!$C$31))</x:f>
        <x:v>0.23</x:v>
      </x:c>
      <x:c r="AZ108" s="28" t="n">
        <x:f>AX108+AY108</x:f>
        <x:v>0.45</x:v>
      </x:c>
      <x:c r="BA108" s="28" t="n">
        <x:f>AV108-AZ108</x:f>
        <x:v>0.7779999999999998</x:v>
      </x:c>
      <x:c r="BB108" s="28" t="n">
        <x:f>AM108*AK108</x:f>
        <x:v>0.8593972602739727</x:v>
      </x:c>
      <x:c r="BC108" s="28" t="n">
        <x:f>0</x:f>
        <x:v>0</x:v>
      </x:c>
      <x:c r="BD108" s="28" t="n">
        <x:f>MAX(0,BB108-MAX(0,AJ108))</x:f>
        <x:v>0</x:v>
      </x:c>
      <x:c r="BE108" s="28" t="n">
        <x:f>(BC108+BD108)/2</x:f>
        <x:v>0</x:v>
      </x:c>
      <x:c r="BF108" s="28" t="n">
        <x:f>BE108*IF($B108="rate",$D108,IF($C108="rate",$E108,'參數'!$C$34))</x:f>
        <x:v>0</x:v>
      </x:c>
      <x:c r="BG108" s="28" t="n">
        <x:f>IF($B108="nonop",$D108,IF($C108="nonop",$E108,'參數'!$C$36))</x:f>
        <x:v>0.02</x:v>
      </x:c>
      <x:c r="BH108" s="28" t="n">
        <x:f>BA108+BG108-BF108</x:f>
        <x:v>0.7979999999999998</x:v>
      </x:c>
      <x:c r="BI108" s="28" t="n">
        <x:f>MAX(0,BH108)*IF($B108="tax",$D108,IF($C108="tax",$E108,'參數'!$C$35))</x:f>
        <x:v>0.15959999999999996</x:v>
      </x:c>
      <x:c r="BJ108" s="28" t="n">
        <x:f>BH108-BI108</x:f>
        <x:v>0.6383999999999999</x:v>
      </x:c>
      <x:c r="BK108" s="29" t="n">
        <x:f>IF(AM108=0,0,BJ108/AM108)</x:f>
        <x:v>0.07979999999999998</x:v>
      </x:c>
      <x:c r="BL108" s="28" t="n">
        <x:f>IF(BJ108&gt;=0,BJ108*IF($B108="retain",$D108,IF($C108="retain",$E108,'參數'!$C$38)),BJ108)</x:f>
        <x:v>0.31919999999999993</x:v>
      </x:c>
      <x:c r="BM108" s="28" t="n">
        <x:f>AJ108+BL108</x:f>
        <x:v>1.3192</x:v>
      </x:c>
      <x:c r="BN108" s="28" t="n">
        <x:f>MAX(0,AB108-AC108)</x:f>
        <x:v>2</x:v>
      </x:c>
      <x:c r="BO108" s="28" t="n">
        <x:f>MAX(0,MIN(AB108,AC108)-AM108)</x:f>
        <x:v>0</x:v>
      </x:c>
    </x:row>
    <x:row r="109" ht="24" customHeight="1">
      <x:c r="A109" s="2" t="str">
        <x:v>雙因子3/3</x:v>
      </x:c>
      <x:c r="B109" s="2" t="str">
        <x:v>capacity</x:v>
      </x:c>
      <x:c r="C109" s="2" t="str">
        <x:v>shock</x:v>
      </x:c>
      <x:c r="D109" s="11" t="n">
        <x:f>'雙因子敏感性'!D$6</x:f>
        <x:v>10</x:v>
      </x:c>
      <x:c r="E109" s="11" t="n">
        <x:f>'參數'!C26+'雙因子敏感性'!$A9</x:f>
        <x:v>0</x:v>
      </x:c>
      <x:c r="F109" s="11" t="n">
        <x:f>'參數'!$C$47</x:f>
        <x:v>0</x:v>
      </x:c>
      <x:c r="G109" s="11" t="n">
        <x:f>'參數'!$C$48</x:f>
        <x:v>0</x:v>
      </x:c>
      <x:c r="H109" s="11" t="n">
        <x:f>'參數'!$C$49</x:f>
        <x:v>0</x:v>
      </x:c>
      <x:c r="I109" s="11" t="n">
        <x:f>F109+IF($B109="pE",$D109,IF($C109="pE",$E109,'參數'!$C$5))*IF($B109="scale",$D109,IF($C109="scale",$E109,'參數'!$C$8))</x:f>
        <x:v>10</x:v>
      </x:c>
      <x:c r="J109" s="11" t="n">
        <x:f>G109+IF($B109="pM",$D109,IF($C109="pM",$E109,'參數'!$C$6))*IF($B109="scale",$D109,IF($C109="scale",$E109,'參數'!$C$8))</x:f>
        <x:v>15</x:v>
      </x:c>
      <x:c r="K109" s="11" t="n">
        <x:f>H109+IF($B109="pA",$D109,IF($C109="pA",$E109,'參數'!$C$7))*IF($B109="scale",$D109,IF($C109="scale",$E109,'參數'!$C$8))</x:f>
        <x:v>50</x:v>
      </x:c>
      <x:c r="L109" s="11" t="n">
        <x:f>I109*IF($B109="winE",$D109,IF($C109="winE",$E109,'參數'!$C$9))</x:f>
        <x:v>4</x:v>
      </x:c>
      <x:c r="M109" s="28" t="n">
        <x:f>J109*IF($B109="winM",$D109,IF($C109="winM",$E109,'參數'!$C$10))</x:f>
        <x:v>6</x:v>
      </x:c>
      <x:c r="N109" s="28" t="n">
        <x:f>MIN(K109,IF($B109="readyA",$D109,IF($C109="readyA",$E109,'參數'!$C$11))*IF($B109="gateA",$D109,IF($C109="gateA",$E109,'參數'!$C$12)))</x:f>
        <x:v>10</x:v>
      </x:c>
      <x:c r="O109" s="28" t="n">
        <x:f>L109+M109+N109</x:f>
        <x:v>20</x:v>
      </x:c>
      <x:c r="P109" s="28" t="n">
        <x:f>(I109-L109)*IF($B109="attrition",$D109,IF($C109="attrition",$E109,'參數'!$C$13))</x:f>
        <x:v>1.2000000000000002</x:v>
      </x:c>
      <x:c r="Q109" s="28" t="n">
        <x:f>(J109-M109)*IF($B109="attrition",$D109,IF($C109="attrition",$E109,'參數'!$C$13))</x:f>
        <x:v>1.8</x:v>
      </x:c>
      <x:c r="R109" s="28" t="n">
        <x:f>(K109-N109)*IF($B109="attrition",$D109,IF($C109="attrition",$E109,'參數'!$C$13))</x:f>
        <x:v>8</x:v>
      </x:c>
      <x:c r="S109" s="28" t="n">
        <x:f>I109-L109-P109</x:f>
        <x:v>4.8</x:v>
      </x:c>
      <x:c r="T109" s="28" t="n">
        <x:f>J109-M109-Q109</x:f>
        <x:v>7.2</x:v>
      </x:c>
      <x:c r="U109" s="28" t="n">
        <x:f>K109-N109-R109</x:f>
        <x:v>32</x:v>
      </x:c>
      <x:c r="V109" s="28" t="n">
        <x:f>'參數'!$C$44</x:f>
        <x:v>0</x:v>
      </x:c>
      <x:c r="W109" s="28" t="n">
        <x:f>'參數'!$C$45</x:f>
        <x:v>0</x:v>
      </x:c>
      <x:c r="X109" s="28" t="n">
        <x:f>'參數'!$C$46</x:f>
        <x:v>0</x:v>
      </x:c>
      <x:c r="Y109" s="28" t="n">
        <x:f>V109*IF($B109="relE",$D109,IF($C109="relE",$E109,'參數'!$C$17))+L109*IF($B109="nowE",$D109,IF($C109="nowE",$E109,'參數'!$C$14))</x:f>
        <x:v>4</x:v>
      </x:c>
      <x:c r="Z109" s="28" t="n">
        <x:f>W109*IF($B109="relM",$D109,IF($C109="relM",$E109,'參數'!$C$18))+M109*IF($B109="nowM",$D109,IF($C109="nowM",$E109,'參數'!$C$15))</x:f>
        <x:v>6</x:v>
      </x:c>
      <x:c r="AA109" s="28" t="n">
        <x:f>X109*IF($B109="relA",$D109,IF($C109="relA",$E109,'參數'!$C$19))+N109*IF($B109="nowA",$D109,IF($C109="nowA",$E109,'參數'!$C$16))</x:f>
        <x:v>0</x:v>
      </x:c>
      <x:c r="AB109" s="28" t="n">
        <x:f>Y109+Z109+AA109</x:f>
        <x:v>10</x:v>
      </x:c>
      <x:c r="AC109" s="28" t="n">
        <x:f>IF($B109="capacity",$D109,IF($C109="capacity",$E109,'參數'!$C$20))</x:f>
        <x:v>10</x:v>
      </x:c>
      <x:c r="AD109" s="28" t="n">
        <x:f>IF(AC109=0,0,AB109/AC109)</x:f>
        <x:v>1</x:v>
      </x:c>
      <x:c r="AE109" s="29" t="n">
        <x:f>MAX(0,AD109-1)*IF($B109="congestion",$D109,IF($C109="congestion",$E109,'參數'!$C$28))</x:f>
        <x:v>0</x:v>
      </x:c>
      <x:c r="AF109" s="29" t="n">
        <x:f>1-(1-(IF($B109="gmE",$D109,IF($C109="gmE",$E109,'參數'!$C$21))+IF($B109="shock",$D109,IF($C109="shock",$E109,'參數'!$C$26))))*(1+IF($B109="inflation",$D109,IF($C109="inflation",$E109,'參數'!$C$27)))-AE109</x:f>
        <x:v>0.12</x:v>
      </x:c>
      <x:c r="AG109" s="29" t="n">
        <x:f>1-(1-(IF($B109="gmM",$D109,IF($C109="gmM",$E109,'參數'!$C$22))+IF($B109="dev",$D109,IF($C109="dev",$E109,'參數'!$C$23))*IF($B109="devReal",$D109,IF($C109="devReal",$E109,'參數'!$C$24))+IF($B109="shock",$D109,IF($C109="shock",$E109,'參數'!$C$26))))*(1+IF($B109="inflation",$D109,IF($C109="inflation",$E109,'參數'!$C$27)))-AE109</x:f>
        <x:v>0.17999999999999994</x:v>
      </x:c>
      <x:c r="AH109" s="29" t="n">
        <x:f>1-(1-(IF($B109="gmA",$D109,IF($C109="gmA",$E109,'參數'!$C$25))+IF($B109="shock",$D109,IF($C109="shock",$E109,'參數'!$C$26))))*(1+IF($B109="inflation",$D109,IF($C109="inflation",$E109,'參數'!$C$27)))-AE109</x:f>
        <x:v>0.16000000000000003</x:v>
      </x:c>
      <x:c r="AI109" s="29" t="n">
        <x:f>IF(AB109=0,0,(Y109*AF109+Z109*AG109+AA109*AH109)/AB109)</x:f>
        <x:v>0.15599999999999997</x:v>
      </x:c>
      <x:c r="AJ109" s="28" t="n">
        <x:f>'參數'!$C$43</x:f>
        <x:v>1</x:v>
      </x:c>
      <x:c r="AK109" s="28" t="n">
        <x:f>MAX(0,(IF($B109="dso",$D109,IF($C109="dso",$E109,'參數'!$C$32))-(1-AI109)*IF($B109="dpo",$D109,IF($C109="dpo",$E109,'參數'!$C$33)))/365)</x:f>
        <x:v>0.10783561643835614</x:v>
      </x:c>
      <x:c r="AL109" s="28" t="n">
        <x:f>IF(AK109=0,AB109,(MAX(0,AJ109)+IF($B109="credit",$D109,IF($C109="credit",$E109,'參數'!$C$37)))/AK109)</x:f>
        <x:v>37.09349593495936</x:v>
      </x:c>
      <x:c r="AM109" s="28" t="n">
        <x:f>MIN(AB109,AC109,AL109)</x:f>
        <x:v>10</x:v>
      </x:c>
      <x:c r="AN109" s="28" t="n">
        <x:f>IF(AB109=0,0,AM109*Y109/AB109)</x:f>
        <x:v>4</x:v>
      </x:c>
      <x:c r="AO109" s="28" t="n">
        <x:f>IF(AB109=0,0,AM109*Z109/AB109)</x:f>
        <x:v>6</x:v>
      </x:c>
      <x:c r="AP109" s="28" t="n">
        <x:f>IF(AB109=0,0,AM109*AA109/AB109)</x:f>
        <x:v>0</x:v>
      </x:c>
      <x:c r="AQ109" s="28" t="n">
        <x:f>V109+L109-AN109</x:f>
        <x:v>0</x:v>
      </x:c>
      <x:c r="AR109" s="28" t="n">
        <x:f>W109+M109-AO109</x:f>
        <x:v>0</x:v>
      </x:c>
      <x:c r="AS109" s="28" t="n">
        <x:f>X109+N109-AP109</x:f>
        <x:v>10</x:v>
      </x:c>
      <x:c r="AT109" s="28" t="n">
        <x:f>AQ109+AR109+AS109</x:f>
        <x:v>10</x:v>
      </x:c>
      <x:c r="AU109" s="28" t="n">
        <x:f>AN109*(1-AF109)+AO109*(1-AG109)+AP109*(1-AH109)</x:f>
        <x:v>8.44</x:v>
      </x:c>
      <x:c r="AV109" s="28" t="n">
        <x:f>AM109-AU109</x:f>
        <x:v>1.5600000000000005</x:v>
      </x:c>
      <x:c r="AW109" s="29" t="n">
        <x:f>IF(AM109=0,0,AV109/AM109)</x:f>
        <x:v>0.15600000000000006</x:v>
      </x:c>
      <x:c r="AX109" s="28" t="n">
        <x:f>IF($B109="head",$D109,IF($C109="head",$E109,'參數'!$C$29))*IF($B109="wage",$D109,IF($C109="wage",$E109,'參數'!$C$30))</x:f>
        <x:v>0.22</x:v>
      </x:c>
      <x:c r="AY109" s="28" t="n">
        <x:f>IF($B109="opex",$D109,IF($C109="opex",$E109,'參數'!$C$31))</x:f>
        <x:v>0.23</x:v>
      </x:c>
      <x:c r="AZ109" s="28" t="n">
        <x:f>AX109+AY109</x:f>
        <x:v>0.45</x:v>
      </x:c>
      <x:c r="BA109" s="28" t="n">
        <x:f>AV109-AZ109</x:f>
        <x:v>1.1100000000000005</x:v>
      </x:c>
      <x:c r="BB109" s="28" t="n">
        <x:f>AM109*AK109</x:f>
        <x:v>1.0783561643835613</x:v>
      </x:c>
      <x:c r="BC109" s="28" t="n">
        <x:f>0</x:f>
        <x:v>0</x:v>
      </x:c>
      <x:c r="BD109" s="28" t="n">
        <x:f>MAX(0,BB109-MAX(0,AJ109))</x:f>
        <x:v>0.0783561643835613</x:v>
      </x:c>
      <x:c r="BE109" s="28" t="n">
        <x:f>(BC109+BD109)/2</x:f>
        <x:v>0.03917808219178065</x:v>
      </x:c>
      <x:c r="BF109" s="28" t="n">
        <x:f>BE109*IF($B109="rate",$D109,IF($C109="rate",$E109,'參數'!$C$34))</x:f>
        <x:v>0.001567123287671226</x:v>
      </x:c>
      <x:c r="BG109" s="28" t="n">
        <x:f>IF($B109="nonop",$D109,IF($C109="nonop",$E109,'參數'!$C$36))</x:f>
        <x:v>0.02</x:v>
      </x:c>
      <x:c r="BH109" s="28" t="n">
        <x:f>BA109+BG109-BF109</x:f>
        <x:v>1.1284328767123293</x:v>
      </x:c>
      <x:c r="BI109" s="28" t="n">
        <x:f>MAX(0,BH109)*IF($B109="tax",$D109,IF($C109="tax",$E109,'參數'!$C$35))</x:f>
        <x:v>0.22568657534246586</x:v>
      </x:c>
      <x:c r="BJ109" s="28" t="n">
        <x:f>BH109-BI109</x:f>
        <x:v>0.9027463013698634</x:v>
      </x:c>
      <x:c r="BK109" s="29" t="n">
        <x:f>IF(AM109=0,0,BJ109/AM109)</x:f>
        <x:v>0.09027463013698635</x:v>
      </x:c>
      <x:c r="BL109" s="28" t="n">
        <x:f>IF(BJ109&gt;=0,BJ109*IF($B109="retain",$D109,IF($C109="retain",$E109,'參數'!$C$38)),BJ109)</x:f>
        <x:v>0.4513731506849317</x:v>
      </x:c>
      <x:c r="BM109" s="28" t="n">
        <x:f>AJ109+BL109</x:f>
        <x:v>1.4513731506849317</x:v>
      </x:c>
      <x:c r="BN109" s="28" t="n">
        <x:f>MAX(0,AB109-AC109)</x:f>
        <x:v>0</x:v>
      </x:c>
      <x:c r="BO109" s="28" t="n">
        <x:f>MAX(0,MIN(AB109,AC109)-AM109)</x:f>
        <x:v>0</x:v>
      </x:c>
    </x:row>
    <x:row r="110" ht="24" customHeight="1">
      <x:c r="A110" s="2" t="str">
        <x:v>雙因子3/4</x:v>
      </x:c>
      <x:c r="B110" s="2" t="str">
        <x:v>capacity</x:v>
      </x:c>
      <x:c r="C110" s="2" t="str">
        <x:v>shock</x:v>
      </x:c>
      <x:c r="D110" s="11" t="n">
        <x:f>'雙因子敏感性'!E$6</x:f>
        <x:v>12</x:v>
      </x:c>
      <x:c r="E110" s="11" t="n">
        <x:f>'參數'!C26+'雙因子敏感性'!$A9</x:f>
        <x:v>0</x:v>
      </x:c>
      <x:c r="F110" s="11" t="n">
        <x:f>'參數'!$C$47</x:f>
        <x:v>0</x:v>
      </x:c>
      <x:c r="G110" s="11" t="n">
        <x:f>'參數'!$C$48</x:f>
        <x:v>0</x:v>
      </x:c>
      <x:c r="H110" s="11" t="n">
        <x:f>'參數'!$C$49</x:f>
        <x:v>0</x:v>
      </x:c>
      <x:c r="I110" s="11" t="n">
        <x:f>F110+IF($B110="pE",$D110,IF($C110="pE",$E110,'參數'!$C$5))*IF($B110="scale",$D110,IF($C110="scale",$E110,'參數'!$C$8))</x:f>
        <x:v>10</x:v>
      </x:c>
      <x:c r="J110" s="11" t="n">
        <x:f>G110+IF($B110="pM",$D110,IF($C110="pM",$E110,'參數'!$C$6))*IF($B110="scale",$D110,IF($C110="scale",$E110,'參數'!$C$8))</x:f>
        <x:v>15</x:v>
      </x:c>
      <x:c r="K110" s="11" t="n">
        <x:f>H110+IF($B110="pA",$D110,IF($C110="pA",$E110,'參數'!$C$7))*IF($B110="scale",$D110,IF($C110="scale",$E110,'參數'!$C$8))</x:f>
        <x:v>50</x:v>
      </x:c>
      <x:c r="L110" s="11" t="n">
        <x:f>I110*IF($B110="winE",$D110,IF($C110="winE",$E110,'參數'!$C$9))</x:f>
        <x:v>4</x:v>
      </x:c>
      <x:c r="M110" s="28" t="n">
        <x:f>J110*IF($B110="winM",$D110,IF($C110="winM",$E110,'參數'!$C$10))</x:f>
        <x:v>6</x:v>
      </x:c>
      <x:c r="N110" s="28" t="n">
        <x:f>MIN(K110,IF($B110="readyA",$D110,IF($C110="readyA",$E110,'參數'!$C$11))*IF($B110="gateA",$D110,IF($C110="gateA",$E110,'參數'!$C$12)))</x:f>
        <x:v>10</x:v>
      </x:c>
      <x:c r="O110" s="28" t="n">
        <x:f>L110+M110+N110</x:f>
        <x:v>20</x:v>
      </x:c>
      <x:c r="P110" s="28" t="n">
        <x:f>(I110-L110)*IF($B110="attrition",$D110,IF($C110="attrition",$E110,'參數'!$C$13))</x:f>
        <x:v>1.2000000000000002</x:v>
      </x:c>
      <x:c r="Q110" s="28" t="n">
        <x:f>(J110-M110)*IF($B110="attrition",$D110,IF($C110="attrition",$E110,'參數'!$C$13))</x:f>
        <x:v>1.8</x:v>
      </x:c>
      <x:c r="R110" s="28" t="n">
        <x:f>(K110-N110)*IF($B110="attrition",$D110,IF($C110="attrition",$E110,'參數'!$C$13))</x:f>
        <x:v>8</x:v>
      </x:c>
      <x:c r="S110" s="28" t="n">
        <x:f>I110-L110-P110</x:f>
        <x:v>4.8</x:v>
      </x:c>
      <x:c r="T110" s="28" t="n">
        <x:f>J110-M110-Q110</x:f>
        <x:v>7.2</x:v>
      </x:c>
      <x:c r="U110" s="28" t="n">
        <x:f>K110-N110-R110</x:f>
        <x:v>32</x:v>
      </x:c>
      <x:c r="V110" s="28" t="n">
        <x:f>'參數'!$C$44</x:f>
        <x:v>0</x:v>
      </x:c>
      <x:c r="W110" s="28" t="n">
        <x:f>'參數'!$C$45</x:f>
        <x:v>0</x:v>
      </x:c>
      <x:c r="X110" s="28" t="n">
        <x:f>'參數'!$C$46</x:f>
        <x:v>0</x:v>
      </x:c>
      <x:c r="Y110" s="28" t="n">
        <x:f>V110*IF($B110="relE",$D110,IF($C110="relE",$E110,'參數'!$C$17))+L110*IF($B110="nowE",$D110,IF($C110="nowE",$E110,'參數'!$C$14))</x:f>
        <x:v>4</x:v>
      </x:c>
      <x:c r="Z110" s="28" t="n">
        <x:f>W110*IF($B110="relM",$D110,IF($C110="relM",$E110,'參數'!$C$18))+M110*IF($B110="nowM",$D110,IF($C110="nowM",$E110,'參數'!$C$15))</x:f>
        <x:v>6</x:v>
      </x:c>
      <x:c r="AA110" s="28" t="n">
        <x:f>X110*IF($B110="relA",$D110,IF($C110="relA",$E110,'參數'!$C$19))+N110*IF($B110="nowA",$D110,IF($C110="nowA",$E110,'參數'!$C$16))</x:f>
        <x:v>0</x:v>
      </x:c>
      <x:c r="AB110" s="28" t="n">
        <x:f>Y110+Z110+AA110</x:f>
        <x:v>10</x:v>
      </x:c>
      <x:c r="AC110" s="28" t="n">
        <x:f>IF($B110="capacity",$D110,IF($C110="capacity",$E110,'參數'!$C$20))</x:f>
        <x:v>12</x:v>
      </x:c>
      <x:c r="AD110" s="28" t="n">
        <x:f>IF(AC110=0,0,AB110/AC110)</x:f>
        <x:v>0.8333333333333334</x:v>
      </x:c>
      <x:c r="AE110" s="29" t="n">
        <x:f>MAX(0,AD110-1)*IF($B110="congestion",$D110,IF($C110="congestion",$E110,'參數'!$C$28))</x:f>
        <x:v>0</x:v>
      </x:c>
      <x:c r="AF110" s="29" t="n">
        <x:f>1-(1-(IF($B110="gmE",$D110,IF($C110="gmE",$E110,'參數'!$C$21))+IF($B110="shock",$D110,IF($C110="shock",$E110,'參數'!$C$26))))*(1+IF($B110="inflation",$D110,IF($C110="inflation",$E110,'參數'!$C$27)))-AE110</x:f>
        <x:v>0.12</x:v>
      </x:c>
      <x:c r="AG110" s="29" t="n">
        <x:f>1-(1-(IF($B110="gmM",$D110,IF($C110="gmM",$E110,'參數'!$C$22))+IF($B110="dev",$D110,IF($C110="dev",$E110,'參數'!$C$23))*IF($B110="devReal",$D110,IF($C110="devReal",$E110,'參數'!$C$24))+IF($B110="shock",$D110,IF($C110="shock",$E110,'參數'!$C$26))))*(1+IF($B110="inflation",$D110,IF($C110="inflation",$E110,'參數'!$C$27)))-AE110</x:f>
        <x:v>0.17999999999999994</x:v>
      </x:c>
      <x:c r="AH110" s="29" t="n">
        <x:f>1-(1-(IF($B110="gmA",$D110,IF($C110="gmA",$E110,'參數'!$C$25))+IF($B110="shock",$D110,IF($C110="shock",$E110,'參數'!$C$26))))*(1+IF($B110="inflation",$D110,IF($C110="inflation",$E110,'參數'!$C$27)))-AE110</x:f>
        <x:v>0.16000000000000003</x:v>
      </x:c>
      <x:c r="AI110" s="29" t="n">
        <x:f>IF(AB110=0,0,(Y110*AF110+Z110*AG110+AA110*AH110)/AB110)</x:f>
        <x:v>0.15599999999999997</x:v>
      </x:c>
      <x:c r="AJ110" s="28" t="n">
        <x:f>'參數'!$C$43</x:f>
        <x:v>1</x:v>
      </x:c>
      <x:c r="AK110" s="28" t="n">
        <x:f>MAX(0,(IF($B110="dso",$D110,IF($C110="dso",$E110,'參數'!$C$32))-(1-AI110)*IF($B110="dpo",$D110,IF($C110="dpo",$E110,'參數'!$C$33)))/365)</x:f>
        <x:v>0.10783561643835614</x:v>
      </x:c>
      <x:c r="AL110" s="28" t="n">
        <x:f>IF(AK110=0,AB110,(MAX(0,AJ110)+IF($B110="credit",$D110,IF($C110="credit",$E110,'參數'!$C$37)))/AK110)</x:f>
        <x:v>37.09349593495936</x:v>
      </x:c>
      <x:c r="AM110" s="28" t="n">
        <x:f>MIN(AB110,AC110,AL110)</x:f>
        <x:v>10</x:v>
      </x:c>
      <x:c r="AN110" s="28" t="n">
        <x:f>IF(AB110=0,0,AM110*Y110/AB110)</x:f>
        <x:v>4</x:v>
      </x:c>
      <x:c r="AO110" s="28" t="n">
        <x:f>IF(AB110=0,0,AM110*Z110/AB110)</x:f>
        <x:v>6</x:v>
      </x:c>
      <x:c r="AP110" s="28" t="n">
        <x:f>IF(AB110=0,0,AM110*AA110/AB110)</x:f>
        <x:v>0</x:v>
      </x:c>
      <x:c r="AQ110" s="28" t="n">
        <x:f>V110+L110-AN110</x:f>
        <x:v>0</x:v>
      </x:c>
      <x:c r="AR110" s="28" t="n">
        <x:f>W110+M110-AO110</x:f>
        <x:v>0</x:v>
      </x:c>
      <x:c r="AS110" s="28" t="n">
        <x:f>X110+N110-AP110</x:f>
        <x:v>10</x:v>
      </x:c>
      <x:c r="AT110" s="28" t="n">
        <x:f>AQ110+AR110+AS110</x:f>
        <x:v>10</x:v>
      </x:c>
      <x:c r="AU110" s="28" t="n">
        <x:f>AN110*(1-AF110)+AO110*(1-AG110)+AP110*(1-AH110)</x:f>
        <x:v>8.44</x:v>
      </x:c>
      <x:c r="AV110" s="28" t="n">
        <x:f>AM110-AU110</x:f>
        <x:v>1.5600000000000005</x:v>
      </x:c>
      <x:c r="AW110" s="29" t="n">
        <x:f>IF(AM110=0,0,AV110/AM110)</x:f>
        <x:v>0.15600000000000006</x:v>
      </x:c>
      <x:c r="AX110" s="28" t="n">
        <x:f>IF($B110="head",$D110,IF($C110="head",$E110,'參數'!$C$29))*IF($B110="wage",$D110,IF($C110="wage",$E110,'參數'!$C$30))</x:f>
        <x:v>0.22</x:v>
      </x:c>
      <x:c r="AY110" s="28" t="n">
        <x:f>IF($B110="opex",$D110,IF($C110="opex",$E110,'參數'!$C$31))</x:f>
        <x:v>0.23</x:v>
      </x:c>
      <x:c r="AZ110" s="28" t="n">
        <x:f>AX110+AY110</x:f>
        <x:v>0.45</x:v>
      </x:c>
      <x:c r="BA110" s="28" t="n">
        <x:f>AV110-AZ110</x:f>
        <x:v>1.1100000000000005</x:v>
      </x:c>
      <x:c r="BB110" s="28" t="n">
        <x:f>AM110*AK110</x:f>
        <x:v>1.0783561643835613</x:v>
      </x:c>
      <x:c r="BC110" s="28" t="n">
        <x:f>0</x:f>
        <x:v>0</x:v>
      </x:c>
      <x:c r="BD110" s="28" t="n">
        <x:f>MAX(0,BB110-MAX(0,AJ110))</x:f>
        <x:v>0.0783561643835613</x:v>
      </x:c>
      <x:c r="BE110" s="28" t="n">
        <x:f>(BC110+BD110)/2</x:f>
        <x:v>0.03917808219178065</x:v>
      </x:c>
      <x:c r="BF110" s="28" t="n">
        <x:f>BE110*IF($B110="rate",$D110,IF($C110="rate",$E110,'參數'!$C$34))</x:f>
        <x:v>0.001567123287671226</x:v>
      </x:c>
      <x:c r="BG110" s="28" t="n">
        <x:f>IF($B110="nonop",$D110,IF($C110="nonop",$E110,'參數'!$C$36))</x:f>
        <x:v>0.02</x:v>
      </x:c>
      <x:c r="BH110" s="28" t="n">
        <x:f>BA110+BG110-BF110</x:f>
        <x:v>1.1284328767123293</x:v>
      </x:c>
      <x:c r="BI110" s="28" t="n">
        <x:f>MAX(0,BH110)*IF($B110="tax",$D110,IF($C110="tax",$E110,'參數'!$C$35))</x:f>
        <x:v>0.22568657534246586</x:v>
      </x:c>
      <x:c r="BJ110" s="28" t="n">
        <x:f>BH110-BI110</x:f>
        <x:v>0.9027463013698634</x:v>
      </x:c>
      <x:c r="BK110" s="29" t="n">
        <x:f>IF(AM110=0,0,BJ110/AM110)</x:f>
        <x:v>0.09027463013698635</x:v>
      </x:c>
      <x:c r="BL110" s="28" t="n">
        <x:f>IF(BJ110&gt;=0,BJ110*IF($B110="retain",$D110,IF($C110="retain",$E110,'參數'!$C$38)),BJ110)</x:f>
        <x:v>0.4513731506849317</x:v>
      </x:c>
      <x:c r="BM110" s="28" t="n">
        <x:f>AJ110+BL110</x:f>
        <x:v>1.4513731506849317</x:v>
      </x:c>
      <x:c r="BN110" s="28" t="n">
        <x:f>MAX(0,AB110-AC110)</x:f>
        <x:v>0</x:v>
      </x:c>
      <x:c r="BO110" s="28" t="n">
        <x:f>MAX(0,MIN(AB110,AC110)-AM110)</x:f>
        <x:v>0</x:v>
      </x:c>
    </x:row>
    <x:row r="111" ht="24" customHeight="1">
      <x:c r="A111" s="2" t="str">
        <x:v>雙因子3/5</x:v>
      </x:c>
      <x:c r="B111" s="2" t="str">
        <x:v>capacity</x:v>
      </x:c>
      <x:c r="C111" s="2" t="str">
        <x:v>shock</x:v>
      </x:c>
      <x:c r="D111" s="11" t="n">
        <x:f>'雙因子敏感性'!F$6</x:f>
        <x:v>14</x:v>
      </x:c>
      <x:c r="E111" s="11" t="n">
        <x:f>'參數'!C26+'雙因子敏感性'!$A9</x:f>
        <x:v>0</x:v>
      </x:c>
      <x:c r="F111" s="11" t="n">
        <x:f>'參數'!$C$47</x:f>
        <x:v>0</x:v>
      </x:c>
      <x:c r="G111" s="11" t="n">
        <x:f>'參數'!$C$48</x:f>
        <x:v>0</x:v>
      </x:c>
      <x:c r="H111" s="11" t="n">
        <x:f>'參數'!$C$49</x:f>
        <x:v>0</x:v>
      </x:c>
      <x:c r="I111" s="11" t="n">
        <x:f>F111+IF($B111="pE",$D111,IF($C111="pE",$E111,'參數'!$C$5))*IF($B111="scale",$D111,IF($C111="scale",$E111,'參數'!$C$8))</x:f>
        <x:v>10</x:v>
      </x:c>
      <x:c r="J111" s="11" t="n">
        <x:f>G111+IF($B111="pM",$D111,IF($C111="pM",$E111,'參數'!$C$6))*IF($B111="scale",$D111,IF($C111="scale",$E111,'參數'!$C$8))</x:f>
        <x:v>15</x:v>
      </x:c>
      <x:c r="K111" s="11" t="n">
        <x:f>H111+IF($B111="pA",$D111,IF($C111="pA",$E111,'參數'!$C$7))*IF($B111="scale",$D111,IF($C111="scale",$E111,'參數'!$C$8))</x:f>
        <x:v>50</x:v>
      </x:c>
      <x:c r="L111" s="11" t="n">
        <x:f>I111*IF($B111="winE",$D111,IF($C111="winE",$E111,'參數'!$C$9))</x:f>
        <x:v>4</x:v>
      </x:c>
      <x:c r="M111" s="28" t="n">
        <x:f>J111*IF($B111="winM",$D111,IF($C111="winM",$E111,'參數'!$C$10))</x:f>
        <x:v>6</x:v>
      </x:c>
      <x:c r="N111" s="28" t="n">
        <x:f>MIN(K111,IF($B111="readyA",$D111,IF($C111="readyA",$E111,'參數'!$C$11))*IF($B111="gateA",$D111,IF($C111="gateA",$E111,'參數'!$C$12)))</x:f>
        <x:v>10</x:v>
      </x:c>
      <x:c r="O111" s="28" t="n">
        <x:f>L111+M111+N111</x:f>
        <x:v>20</x:v>
      </x:c>
      <x:c r="P111" s="28" t="n">
        <x:f>(I111-L111)*IF($B111="attrition",$D111,IF($C111="attrition",$E111,'參數'!$C$13))</x:f>
        <x:v>1.2000000000000002</x:v>
      </x:c>
      <x:c r="Q111" s="28" t="n">
        <x:f>(J111-M111)*IF($B111="attrition",$D111,IF($C111="attrition",$E111,'參數'!$C$13))</x:f>
        <x:v>1.8</x:v>
      </x:c>
      <x:c r="R111" s="28" t="n">
        <x:f>(K111-N111)*IF($B111="attrition",$D111,IF($C111="attrition",$E111,'參數'!$C$13))</x:f>
        <x:v>8</x:v>
      </x:c>
      <x:c r="S111" s="28" t="n">
        <x:f>I111-L111-P111</x:f>
        <x:v>4.8</x:v>
      </x:c>
      <x:c r="T111" s="28" t="n">
        <x:f>J111-M111-Q111</x:f>
        <x:v>7.2</x:v>
      </x:c>
      <x:c r="U111" s="28" t="n">
        <x:f>K111-N111-R111</x:f>
        <x:v>32</x:v>
      </x:c>
      <x:c r="V111" s="28" t="n">
        <x:f>'參數'!$C$44</x:f>
        <x:v>0</x:v>
      </x:c>
      <x:c r="W111" s="28" t="n">
        <x:f>'參數'!$C$45</x:f>
        <x:v>0</x:v>
      </x:c>
      <x:c r="X111" s="28" t="n">
        <x:f>'參數'!$C$46</x:f>
        <x:v>0</x:v>
      </x:c>
      <x:c r="Y111" s="28" t="n">
        <x:f>V111*IF($B111="relE",$D111,IF($C111="relE",$E111,'參數'!$C$17))+L111*IF($B111="nowE",$D111,IF($C111="nowE",$E111,'參數'!$C$14))</x:f>
        <x:v>4</x:v>
      </x:c>
      <x:c r="Z111" s="28" t="n">
        <x:f>W111*IF($B111="relM",$D111,IF($C111="relM",$E111,'參數'!$C$18))+M111*IF($B111="nowM",$D111,IF($C111="nowM",$E111,'參數'!$C$15))</x:f>
        <x:v>6</x:v>
      </x:c>
      <x:c r="AA111" s="28" t="n">
        <x:f>X111*IF($B111="relA",$D111,IF($C111="relA",$E111,'參數'!$C$19))+N111*IF($B111="nowA",$D111,IF($C111="nowA",$E111,'參數'!$C$16))</x:f>
        <x:v>0</x:v>
      </x:c>
      <x:c r="AB111" s="28" t="n">
        <x:f>Y111+Z111+AA111</x:f>
        <x:v>10</x:v>
      </x:c>
      <x:c r="AC111" s="28" t="n">
        <x:f>IF($B111="capacity",$D111,IF($C111="capacity",$E111,'參數'!$C$20))</x:f>
        <x:v>14</x:v>
      </x:c>
      <x:c r="AD111" s="28" t="n">
        <x:f>IF(AC111=0,0,AB111/AC111)</x:f>
        <x:v>0.7142857142857143</x:v>
      </x:c>
      <x:c r="AE111" s="29" t="n">
        <x:f>MAX(0,AD111-1)*IF($B111="congestion",$D111,IF($C111="congestion",$E111,'參數'!$C$28))</x:f>
        <x:v>0</x:v>
      </x:c>
      <x:c r="AF111" s="29" t="n">
        <x:f>1-(1-(IF($B111="gmE",$D111,IF($C111="gmE",$E111,'參數'!$C$21))+IF($B111="shock",$D111,IF($C111="shock",$E111,'參數'!$C$26))))*(1+IF($B111="inflation",$D111,IF($C111="inflation",$E111,'參數'!$C$27)))-AE111</x:f>
        <x:v>0.12</x:v>
      </x:c>
      <x:c r="AG111" s="29" t="n">
        <x:f>1-(1-(IF($B111="gmM",$D111,IF($C111="gmM",$E111,'參數'!$C$22))+IF($B111="dev",$D111,IF($C111="dev",$E111,'參數'!$C$23))*IF($B111="devReal",$D111,IF($C111="devReal",$E111,'參數'!$C$24))+IF($B111="shock",$D111,IF($C111="shock",$E111,'參數'!$C$26))))*(1+IF($B111="inflation",$D111,IF($C111="inflation",$E111,'參數'!$C$27)))-AE111</x:f>
        <x:v>0.17999999999999994</x:v>
      </x:c>
      <x:c r="AH111" s="29" t="n">
        <x:f>1-(1-(IF($B111="gmA",$D111,IF($C111="gmA",$E111,'參數'!$C$25))+IF($B111="shock",$D111,IF($C111="shock",$E111,'參數'!$C$26))))*(1+IF($B111="inflation",$D111,IF($C111="inflation",$E111,'參數'!$C$27)))-AE111</x:f>
        <x:v>0.16000000000000003</x:v>
      </x:c>
      <x:c r="AI111" s="29" t="n">
        <x:f>IF(AB111=0,0,(Y111*AF111+Z111*AG111+AA111*AH111)/AB111)</x:f>
        <x:v>0.15599999999999997</x:v>
      </x:c>
      <x:c r="AJ111" s="28" t="n">
        <x:f>'參數'!$C$43</x:f>
        <x:v>1</x:v>
      </x:c>
      <x:c r="AK111" s="28" t="n">
        <x:f>MAX(0,(IF($B111="dso",$D111,IF($C111="dso",$E111,'參數'!$C$32))-(1-AI111)*IF($B111="dpo",$D111,IF($C111="dpo",$E111,'參數'!$C$33)))/365)</x:f>
        <x:v>0.10783561643835614</x:v>
      </x:c>
      <x:c r="AL111" s="28" t="n">
        <x:f>IF(AK111=0,AB111,(MAX(0,AJ111)+IF($B111="credit",$D111,IF($C111="credit",$E111,'參數'!$C$37)))/AK111)</x:f>
        <x:v>37.09349593495936</x:v>
      </x:c>
      <x:c r="AM111" s="28" t="n">
        <x:f>MIN(AB111,AC111,AL111)</x:f>
        <x:v>10</x:v>
      </x:c>
      <x:c r="AN111" s="28" t="n">
        <x:f>IF(AB111=0,0,AM111*Y111/AB111)</x:f>
        <x:v>4</x:v>
      </x:c>
      <x:c r="AO111" s="28" t="n">
        <x:f>IF(AB111=0,0,AM111*Z111/AB111)</x:f>
        <x:v>6</x:v>
      </x:c>
      <x:c r="AP111" s="28" t="n">
        <x:f>IF(AB111=0,0,AM111*AA111/AB111)</x:f>
        <x:v>0</x:v>
      </x:c>
      <x:c r="AQ111" s="28" t="n">
        <x:f>V111+L111-AN111</x:f>
        <x:v>0</x:v>
      </x:c>
      <x:c r="AR111" s="28" t="n">
        <x:f>W111+M111-AO111</x:f>
        <x:v>0</x:v>
      </x:c>
      <x:c r="AS111" s="28" t="n">
        <x:f>X111+N111-AP111</x:f>
        <x:v>10</x:v>
      </x:c>
      <x:c r="AT111" s="28" t="n">
        <x:f>AQ111+AR111+AS111</x:f>
        <x:v>10</x:v>
      </x:c>
      <x:c r="AU111" s="28" t="n">
        <x:f>AN111*(1-AF111)+AO111*(1-AG111)+AP111*(1-AH111)</x:f>
        <x:v>8.44</x:v>
      </x:c>
      <x:c r="AV111" s="28" t="n">
        <x:f>AM111-AU111</x:f>
        <x:v>1.5600000000000005</x:v>
      </x:c>
      <x:c r="AW111" s="29" t="n">
        <x:f>IF(AM111=0,0,AV111/AM111)</x:f>
        <x:v>0.15600000000000006</x:v>
      </x:c>
      <x:c r="AX111" s="28" t="n">
        <x:f>IF($B111="head",$D111,IF($C111="head",$E111,'參數'!$C$29))*IF($B111="wage",$D111,IF($C111="wage",$E111,'參數'!$C$30))</x:f>
        <x:v>0.22</x:v>
      </x:c>
      <x:c r="AY111" s="28" t="n">
        <x:f>IF($B111="opex",$D111,IF($C111="opex",$E111,'參數'!$C$31))</x:f>
        <x:v>0.23</x:v>
      </x:c>
      <x:c r="AZ111" s="28" t="n">
        <x:f>AX111+AY111</x:f>
        <x:v>0.45</x:v>
      </x:c>
      <x:c r="BA111" s="28" t="n">
        <x:f>AV111-AZ111</x:f>
        <x:v>1.1100000000000005</x:v>
      </x:c>
      <x:c r="BB111" s="28" t="n">
        <x:f>AM111*AK111</x:f>
        <x:v>1.0783561643835613</x:v>
      </x:c>
      <x:c r="BC111" s="28" t="n">
        <x:f>0</x:f>
        <x:v>0</x:v>
      </x:c>
      <x:c r="BD111" s="28" t="n">
        <x:f>MAX(0,BB111-MAX(0,AJ111))</x:f>
        <x:v>0.0783561643835613</x:v>
      </x:c>
      <x:c r="BE111" s="28" t="n">
        <x:f>(BC111+BD111)/2</x:f>
        <x:v>0.03917808219178065</x:v>
      </x:c>
      <x:c r="BF111" s="28" t="n">
        <x:f>BE111*IF($B111="rate",$D111,IF($C111="rate",$E111,'參數'!$C$34))</x:f>
        <x:v>0.001567123287671226</x:v>
      </x:c>
      <x:c r="BG111" s="28" t="n">
        <x:f>IF($B111="nonop",$D111,IF($C111="nonop",$E111,'參數'!$C$36))</x:f>
        <x:v>0.02</x:v>
      </x:c>
      <x:c r="BH111" s="28" t="n">
        <x:f>BA111+BG111-BF111</x:f>
        <x:v>1.1284328767123293</x:v>
      </x:c>
      <x:c r="BI111" s="28" t="n">
        <x:f>MAX(0,BH111)*IF($B111="tax",$D111,IF($C111="tax",$E111,'參數'!$C$35))</x:f>
        <x:v>0.22568657534246586</x:v>
      </x:c>
      <x:c r="BJ111" s="28" t="n">
        <x:f>BH111-BI111</x:f>
        <x:v>0.9027463013698634</x:v>
      </x:c>
      <x:c r="BK111" s="29" t="n">
        <x:f>IF(AM111=0,0,BJ111/AM111)</x:f>
        <x:v>0.09027463013698635</x:v>
      </x:c>
      <x:c r="BL111" s="28" t="n">
        <x:f>IF(BJ111&gt;=0,BJ111*IF($B111="retain",$D111,IF($C111="retain",$E111,'參數'!$C$38)),BJ111)</x:f>
        <x:v>0.4513731506849317</x:v>
      </x:c>
      <x:c r="BM111" s="28" t="n">
        <x:f>AJ111+BL111</x:f>
        <x:v>1.4513731506849317</x:v>
      </x:c>
      <x:c r="BN111" s="28" t="n">
        <x:f>MAX(0,AB111-AC111)</x:f>
        <x:v>0</x:v>
      </x:c>
      <x:c r="BO111" s="28" t="n">
        <x:f>MAX(0,MIN(AB111,AC111)-AM111)</x:f>
        <x:v>0</x:v>
      </x:c>
    </x:row>
    <x:row r="112" ht="24" customHeight="1">
      <x:c r="A112" s="2" t="str">
        <x:v>雙因子4/1</x:v>
      </x:c>
      <x:c r="B112" s="2" t="str">
        <x:v>capacity</x:v>
      </x:c>
      <x:c r="C112" s="2" t="str">
        <x:v>shock</x:v>
      </x:c>
      <x:c r="D112" s="11" t="n">
        <x:f>'雙因子敏感性'!B$6</x:f>
        <x:v>6</x:v>
      </x:c>
      <x:c r="E112" s="11" t="n">
        <x:f>'參數'!C26+'雙因子敏感性'!$A10</x:f>
        <x:v>0.015</x:v>
      </x:c>
      <x:c r="F112" s="11" t="n">
        <x:f>'參數'!$C$47</x:f>
        <x:v>0</x:v>
      </x:c>
      <x:c r="G112" s="11" t="n">
        <x:f>'參數'!$C$48</x:f>
        <x:v>0</x:v>
      </x:c>
      <x:c r="H112" s="11" t="n">
        <x:f>'參數'!$C$49</x:f>
        <x:v>0</x:v>
      </x:c>
      <x:c r="I112" s="11" t="n">
        <x:f>F112+IF($B112="pE",$D112,IF($C112="pE",$E112,'參數'!$C$5))*IF($B112="scale",$D112,IF($C112="scale",$E112,'參數'!$C$8))</x:f>
        <x:v>10</x:v>
      </x:c>
      <x:c r="J112" s="11" t="n">
        <x:f>G112+IF($B112="pM",$D112,IF($C112="pM",$E112,'參數'!$C$6))*IF($B112="scale",$D112,IF($C112="scale",$E112,'參數'!$C$8))</x:f>
        <x:v>15</x:v>
      </x:c>
      <x:c r="K112" s="11" t="n">
        <x:f>H112+IF($B112="pA",$D112,IF($C112="pA",$E112,'參數'!$C$7))*IF($B112="scale",$D112,IF($C112="scale",$E112,'參數'!$C$8))</x:f>
        <x:v>50</x:v>
      </x:c>
      <x:c r="L112" s="11" t="n">
        <x:f>I112*IF($B112="winE",$D112,IF($C112="winE",$E112,'參數'!$C$9))</x:f>
        <x:v>4</x:v>
      </x:c>
      <x:c r="M112" s="28" t="n">
        <x:f>J112*IF($B112="winM",$D112,IF($C112="winM",$E112,'參數'!$C$10))</x:f>
        <x:v>6</x:v>
      </x:c>
      <x:c r="N112" s="28" t="n">
        <x:f>MIN(K112,IF($B112="readyA",$D112,IF($C112="readyA",$E112,'參數'!$C$11))*IF($B112="gateA",$D112,IF($C112="gateA",$E112,'參數'!$C$12)))</x:f>
        <x:v>10</x:v>
      </x:c>
      <x:c r="O112" s="28" t="n">
        <x:f>L112+M112+N112</x:f>
        <x:v>20</x:v>
      </x:c>
      <x:c r="P112" s="28" t="n">
        <x:f>(I112-L112)*IF($B112="attrition",$D112,IF($C112="attrition",$E112,'參數'!$C$13))</x:f>
        <x:v>1.2000000000000002</x:v>
      </x:c>
      <x:c r="Q112" s="28" t="n">
        <x:f>(J112-M112)*IF($B112="attrition",$D112,IF($C112="attrition",$E112,'參數'!$C$13))</x:f>
        <x:v>1.8</x:v>
      </x:c>
      <x:c r="R112" s="28" t="n">
        <x:f>(K112-N112)*IF($B112="attrition",$D112,IF($C112="attrition",$E112,'參數'!$C$13))</x:f>
        <x:v>8</x:v>
      </x:c>
      <x:c r="S112" s="28" t="n">
        <x:f>I112-L112-P112</x:f>
        <x:v>4.8</x:v>
      </x:c>
      <x:c r="T112" s="28" t="n">
        <x:f>J112-M112-Q112</x:f>
        <x:v>7.2</x:v>
      </x:c>
      <x:c r="U112" s="28" t="n">
        <x:f>K112-N112-R112</x:f>
        <x:v>32</x:v>
      </x:c>
      <x:c r="V112" s="28" t="n">
        <x:f>'參數'!$C$44</x:f>
        <x:v>0</x:v>
      </x:c>
      <x:c r="W112" s="28" t="n">
        <x:f>'參數'!$C$45</x:f>
        <x:v>0</x:v>
      </x:c>
      <x:c r="X112" s="28" t="n">
        <x:f>'參數'!$C$46</x:f>
        <x:v>0</x:v>
      </x:c>
      <x:c r="Y112" s="28" t="n">
        <x:f>V112*IF($B112="relE",$D112,IF($C112="relE",$E112,'參數'!$C$17))+L112*IF($B112="nowE",$D112,IF($C112="nowE",$E112,'參數'!$C$14))</x:f>
        <x:v>4</x:v>
      </x:c>
      <x:c r="Z112" s="28" t="n">
        <x:f>W112*IF($B112="relM",$D112,IF($C112="relM",$E112,'參數'!$C$18))+M112*IF($B112="nowM",$D112,IF($C112="nowM",$E112,'參數'!$C$15))</x:f>
        <x:v>6</x:v>
      </x:c>
      <x:c r="AA112" s="28" t="n">
        <x:f>X112*IF($B112="relA",$D112,IF($C112="relA",$E112,'參數'!$C$19))+N112*IF($B112="nowA",$D112,IF($C112="nowA",$E112,'參數'!$C$16))</x:f>
        <x:v>0</x:v>
      </x:c>
      <x:c r="AB112" s="28" t="n">
        <x:f>Y112+Z112+AA112</x:f>
        <x:v>10</x:v>
      </x:c>
      <x:c r="AC112" s="28" t="n">
        <x:f>IF($B112="capacity",$D112,IF($C112="capacity",$E112,'參數'!$C$20))</x:f>
        <x:v>6</x:v>
      </x:c>
      <x:c r="AD112" s="28" t="n">
        <x:f>IF(AC112=0,0,AB112/AC112)</x:f>
        <x:v>1.6666666666666667</x:v>
      </x:c>
      <x:c r="AE112" s="29" t="n">
        <x:f>MAX(0,AD112-1)*IF($B112="congestion",$D112,IF($C112="congestion",$E112,'參數'!$C$28))</x:f>
        <x:v>0.006666666666666668</x:v>
      </x:c>
      <x:c r="AF112" s="29" t="n">
        <x:f>1-(1-(IF($B112="gmE",$D112,IF($C112="gmE",$E112,'參數'!$C$21))+IF($B112="shock",$D112,IF($C112="shock",$E112,'參數'!$C$26))))*(1+IF($B112="inflation",$D112,IF($C112="inflation",$E112,'參數'!$C$27)))-AE112</x:f>
        <x:v>0.12833333333333335</x:v>
      </x:c>
      <x:c r="AG112" s="29" t="n">
        <x:f>1-(1-(IF($B112="gmM",$D112,IF($C112="gmM",$E112,'參數'!$C$22))+IF($B112="dev",$D112,IF($C112="dev",$E112,'參數'!$C$23))*IF($B112="devReal",$D112,IF($C112="devReal",$E112,'參數'!$C$24))+IF($B112="shock",$D112,IF($C112="shock",$E112,'參數'!$C$26))))*(1+IF($B112="inflation",$D112,IF($C112="inflation",$E112,'參數'!$C$27)))-AE112</x:f>
        <x:v>0.1883333333333334</x:v>
      </x:c>
      <x:c r="AH112" s="29" t="n">
        <x:f>1-(1-(IF($B112="gmA",$D112,IF($C112="gmA",$E112,'參數'!$C$25))+IF($B112="shock",$D112,IF($C112="shock",$E112,'參數'!$C$26))))*(1+IF($B112="inflation",$D112,IF($C112="inflation",$E112,'參數'!$C$27)))-AE112</x:f>
        <x:v>0.1683333333333334</x:v>
      </x:c>
      <x:c r="AI112" s="29" t="n">
        <x:f>IF(AB112=0,0,(Y112*AF112+Z112*AG112+AA112*AH112)/AB112)</x:f>
        <x:v>0.1643333333333334</x:v>
      </x:c>
      <x:c r="AJ112" s="28" t="n">
        <x:f>'參數'!$C$43</x:f>
        <x:v>1</x:v>
      </x:c>
      <x:c r="AK112" s="28" t="n">
        <x:f>MAX(0,(IF($B112="dso",$D112,IF($C112="dso",$E112,'參數'!$C$32))-(1-AI112)*IF($B112="dpo",$D112,IF($C112="dpo",$E112,'參數'!$C$33)))/365)</x:f>
        <x:v>0.10920547945205482</x:v>
      </x:c>
      <x:c r="AL112" s="28" t="n">
        <x:f>IF(AK112=0,AB112,(MAX(0,AJ112)+IF($B112="credit",$D112,IF($C112="credit",$E112,'參數'!$C$37)))/AK112)</x:f>
        <x:v>36.62819869543401</x:v>
      </x:c>
      <x:c r="AM112" s="28" t="n">
        <x:f>MIN(AB112,AC112,AL112)</x:f>
        <x:v>6</x:v>
      </x:c>
      <x:c r="AN112" s="28" t="n">
        <x:f>IF(AB112=0,0,AM112*Y112/AB112)</x:f>
        <x:v>2.4</x:v>
      </x:c>
      <x:c r="AO112" s="28" t="n">
        <x:f>IF(AB112=0,0,AM112*Z112/AB112)</x:f>
        <x:v>3.6</x:v>
      </x:c>
      <x:c r="AP112" s="28" t="n">
        <x:f>IF(AB112=0,0,AM112*AA112/AB112)</x:f>
        <x:v>0</x:v>
      </x:c>
      <x:c r="AQ112" s="28" t="n">
        <x:f>V112+L112-AN112</x:f>
        <x:v>1.6</x:v>
      </x:c>
      <x:c r="AR112" s="28" t="n">
        <x:f>W112+M112-AO112</x:f>
        <x:v>2.4</x:v>
      </x:c>
      <x:c r="AS112" s="28" t="n">
        <x:f>X112+N112-AP112</x:f>
        <x:v>10</x:v>
      </x:c>
      <x:c r="AT112" s="28" t="n">
        <x:f>AQ112+AR112+AS112</x:f>
        <x:v>14</x:v>
      </x:c>
      <x:c r="AU112" s="28" t="n">
        <x:f>AN112*(1-AF112)+AO112*(1-AG112)+AP112*(1-AH112)</x:f>
        <x:v>5.013999999999999</x:v>
      </x:c>
      <x:c r="AV112" s="28" t="n">
        <x:f>AM112-AU112</x:f>
        <x:v>0.9860000000000007</x:v>
      </x:c>
      <x:c r="AW112" s="29" t="n">
        <x:f>IF(AM112=0,0,AV112/AM112)</x:f>
        <x:v>0.16433333333333344</x:v>
      </x:c>
      <x:c r="AX112" s="28" t="n">
        <x:f>IF($B112="head",$D112,IF($C112="head",$E112,'參數'!$C$29))*IF($B112="wage",$D112,IF($C112="wage",$E112,'參數'!$C$30))</x:f>
        <x:v>0.22</x:v>
      </x:c>
      <x:c r="AY112" s="28" t="n">
        <x:f>IF($B112="opex",$D112,IF($C112="opex",$E112,'參數'!$C$31))</x:f>
        <x:v>0.23</x:v>
      </x:c>
      <x:c r="AZ112" s="28" t="n">
        <x:f>AX112+AY112</x:f>
        <x:v>0.45</x:v>
      </x:c>
      <x:c r="BA112" s="28" t="n">
        <x:f>AV112-AZ112</x:f>
        <x:v>0.5360000000000007</x:v>
      </x:c>
      <x:c r="BB112" s="28" t="n">
        <x:f>AM112*AK112</x:f>
        <x:v>0.6552328767123289</x:v>
      </x:c>
      <x:c r="BC112" s="28" t="n">
        <x:f>0</x:f>
        <x:v>0</x:v>
      </x:c>
      <x:c r="BD112" s="28" t="n">
        <x:f>MAX(0,BB112-MAX(0,AJ112))</x:f>
        <x:v>0</x:v>
      </x:c>
      <x:c r="BE112" s="28" t="n">
        <x:f>(BC112+BD112)/2</x:f>
        <x:v>0</x:v>
      </x:c>
      <x:c r="BF112" s="28" t="n">
        <x:f>BE112*IF($B112="rate",$D112,IF($C112="rate",$E112,'參數'!$C$34))</x:f>
        <x:v>0</x:v>
      </x:c>
      <x:c r="BG112" s="28" t="n">
        <x:f>IF($B112="nonop",$D112,IF($C112="nonop",$E112,'參數'!$C$36))</x:f>
        <x:v>0.02</x:v>
      </x:c>
      <x:c r="BH112" s="28" t="n">
        <x:f>BA112+BG112-BF112</x:f>
        <x:v>0.5560000000000007</x:v>
      </x:c>
      <x:c r="BI112" s="28" t="n">
        <x:f>MAX(0,BH112)*IF($B112="tax",$D112,IF($C112="tax",$E112,'參數'!$C$35))</x:f>
        <x:v>0.11120000000000015</x:v>
      </x:c>
      <x:c r="BJ112" s="28" t="n">
        <x:f>BH112-BI112</x:f>
        <x:v>0.4448000000000006</x:v>
      </x:c>
      <x:c r="BK112" s="29" t="n">
        <x:f>IF(AM112=0,0,BJ112/AM112)</x:f>
        <x:v>0.07413333333333343</x:v>
      </x:c>
      <x:c r="BL112" s="28" t="n">
        <x:f>IF(BJ112&gt;=0,BJ112*IF($B112="retain",$D112,IF($C112="retain",$E112,'參數'!$C$38)),BJ112)</x:f>
        <x:v>0.2224000000000003</x:v>
      </x:c>
      <x:c r="BM112" s="28" t="n">
        <x:f>AJ112+BL112</x:f>
        <x:v>1.2224000000000004</x:v>
      </x:c>
      <x:c r="BN112" s="28" t="n">
        <x:f>MAX(0,AB112-AC112)</x:f>
        <x:v>4</x:v>
      </x:c>
      <x:c r="BO112" s="28" t="n">
        <x:f>MAX(0,MIN(AB112,AC112)-AM112)</x:f>
        <x:v>0</x:v>
      </x:c>
    </x:row>
    <x:row r="113" ht="24" customHeight="1">
      <x:c r="A113" s="2" t="str">
        <x:v>雙因子4/2</x:v>
      </x:c>
      <x:c r="B113" s="2" t="str">
        <x:v>capacity</x:v>
      </x:c>
      <x:c r="C113" s="2" t="str">
        <x:v>shock</x:v>
      </x:c>
      <x:c r="D113" s="11" t="n">
        <x:f>'雙因子敏感性'!C$6</x:f>
        <x:v>8</x:v>
      </x:c>
      <x:c r="E113" s="11" t="n">
        <x:f>'參數'!C26+'雙因子敏感性'!$A10</x:f>
        <x:v>0.015</x:v>
      </x:c>
      <x:c r="F113" s="11" t="n">
        <x:f>'參數'!$C$47</x:f>
        <x:v>0</x:v>
      </x:c>
      <x:c r="G113" s="11" t="n">
        <x:f>'參數'!$C$48</x:f>
        <x:v>0</x:v>
      </x:c>
      <x:c r="H113" s="11" t="n">
        <x:f>'參數'!$C$49</x:f>
        <x:v>0</x:v>
      </x:c>
      <x:c r="I113" s="11" t="n">
        <x:f>F113+IF($B113="pE",$D113,IF($C113="pE",$E113,'參數'!$C$5))*IF($B113="scale",$D113,IF($C113="scale",$E113,'參數'!$C$8))</x:f>
        <x:v>10</x:v>
      </x:c>
      <x:c r="J113" s="11" t="n">
        <x:f>G113+IF($B113="pM",$D113,IF($C113="pM",$E113,'參數'!$C$6))*IF($B113="scale",$D113,IF($C113="scale",$E113,'參數'!$C$8))</x:f>
        <x:v>15</x:v>
      </x:c>
      <x:c r="K113" s="11" t="n">
        <x:f>H113+IF($B113="pA",$D113,IF($C113="pA",$E113,'參數'!$C$7))*IF($B113="scale",$D113,IF($C113="scale",$E113,'參數'!$C$8))</x:f>
        <x:v>50</x:v>
      </x:c>
      <x:c r="L113" s="11" t="n">
        <x:f>I113*IF($B113="winE",$D113,IF($C113="winE",$E113,'參數'!$C$9))</x:f>
        <x:v>4</x:v>
      </x:c>
      <x:c r="M113" s="28" t="n">
        <x:f>J113*IF($B113="winM",$D113,IF($C113="winM",$E113,'參數'!$C$10))</x:f>
        <x:v>6</x:v>
      </x:c>
      <x:c r="N113" s="28" t="n">
        <x:f>MIN(K113,IF($B113="readyA",$D113,IF($C113="readyA",$E113,'參數'!$C$11))*IF($B113="gateA",$D113,IF($C113="gateA",$E113,'參數'!$C$12)))</x:f>
        <x:v>10</x:v>
      </x:c>
      <x:c r="O113" s="28" t="n">
        <x:f>L113+M113+N113</x:f>
        <x:v>20</x:v>
      </x:c>
      <x:c r="P113" s="28" t="n">
        <x:f>(I113-L113)*IF($B113="attrition",$D113,IF($C113="attrition",$E113,'參數'!$C$13))</x:f>
        <x:v>1.2000000000000002</x:v>
      </x:c>
      <x:c r="Q113" s="28" t="n">
        <x:f>(J113-M113)*IF($B113="attrition",$D113,IF($C113="attrition",$E113,'參數'!$C$13))</x:f>
        <x:v>1.8</x:v>
      </x:c>
      <x:c r="R113" s="28" t="n">
        <x:f>(K113-N113)*IF($B113="attrition",$D113,IF($C113="attrition",$E113,'參數'!$C$13))</x:f>
        <x:v>8</x:v>
      </x:c>
      <x:c r="S113" s="28" t="n">
        <x:f>I113-L113-P113</x:f>
        <x:v>4.8</x:v>
      </x:c>
      <x:c r="T113" s="28" t="n">
        <x:f>J113-M113-Q113</x:f>
        <x:v>7.2</x:v>
      </x:c>
      <x:c r="U113" s="28" t="n">
        <x:f>K113-N113-R113</x:f>
        <x:v>32</x:v>
      </x:c>
      <x:c r="V113" s="28" t="n">
        <x:f>'參數'!$C$44</x:f>
        <x:v>0</x:v>
      </x:c>
      <x:c r="W113" s="28" t="n">
        <x:f>'參數'!$C$45</x:f>
        <x:v>0</x:v>
      </x:c>
      <x:c r="X113" s="28" t="n">
        <x:f>'參數'!$C$46</x:f>
        <x:v>0</x:v>
      </x:c>
      <x:c r="Y113" s="28" t="n">
        <x:f>V113*IF($B113="relE",$D113,IF($C113="relE",$E113,'參數'!$C$17))+L113*IF($B113="nowE",$D113,IF($C113="nowE",$E113,'參數'!$C$14))</x:f>
        <x:v>4</x:v>
      </x:c>
      <x:c r="Z113" s="28" t="n">
        <x:f>W113*IF($B113="relM",$D113,IF($C113="relM",$E113,'參數'!$C$18))+M113*IF($B113="nowM",$D113,IF($C113="nowM",$E113,'參數'!$C$15))</x:f>
        <x:v>6</x:v>
      </x:c>
      <x:c r="AA113" s="28" t="n">
        <x:f>X113*IF($B113="relA",$D113,IF($C113="relA",$E113,'參數'!$C$19))+N113*IF($B113="nowA",$D113,IF($C113="nowA",$E113,'參數'!$C$16))</x:f>
        <x:v>0</x:v>
      </x:c>
      <x:c r="AB113" s="28" t="n">
        <x:f>Y113+Z113+AA113</x:f>
        <x:v>10</x:v>
      </x:c>
      <x:c r="AC113" s="28" t="n">
        <x:f>IF($B113="capacity",$D113,IF($C113="capacity",$E113,'參數'!$C$20))</x:f>
        <x:v>8</x:v>
      </x:c>
      <x:c r="AD113" s="28" t="n">
        <x:f>IF(AC113=0,0,AB113/AC113)</x:f>
        <x:v>1.25</x:v>
      </x:c>
      <x:c r="AE113" s="29" t="n">
        <x:f>MAX(0,AD113-1)*IF($B113="congestion",$D113,IF($C113="congestion",$E113,'參數'!$C$28))</x:f>
        <x:v>0.0025</x:v>
      </x:c>
      <x:c r="AF113" s="29" t="n">
        <x:f>1-(1-(IF($B113="gmE",$D113,IF($C113="gmE",$E113,'參數'!$C$21))+IF($B113="shock",$D113,IF($C113="shock",$E113,'參數'!$C$26))))*(1+IF($B113="inflation",$D113,IF($C113="inflation",$E113,'參數'!$C$27)))-AE113</x:f>
        <x:v>0.1325</x:v>
      </x:c>
      <x:c r="AG113" s="29" t="n">
        <x:f>1-(1-(IF($B113="gmM",$D113,IF($C113="gmM",$E113,'參數'!$C$22))+IF($B113="dev",$D113,IF($C113="dev",$E113,'參數'!$C$23))*IF($B113="devReal",$D113,IF($C113="devReal",$E113,'參數'!$C$24))+IF($B113="shock",$D113,IF($C113="shock",$E113,'參數'!$C$26))))*(1+IF($B113="inflation",$D113,IF($C113="inflation",$E113,'參數'!$C$27)))-AE113</x:f>
        <x:v>0.19250000000000006</x:v>
      </x:c>
      <x:c r="AH113" s="29" t="n">
        <x:f>1-(1-(IF($B113="gmA",$D113,IF($C113="gmA",$E113,'參數'!$C$25))+IF($B113="shock",$D113,IF($C113="shock",$E113,'參數'!$C$26))))*(1+IF($B113="inflation",$D113,IF($C113="inflation",$E113,'參數'!$C$27)))-AE113</x:f>
        <x:v>0.17250000000000004</x:v>
      </x:c>
      <x:c r="AI113" s="29" t="n">
        <x:f>IF(AB113=0,0,(Y113*AF113+Z113*AG113+AA113*AH113)/AB113)</x:f>
        <x:v>0.16850000000000004</x:v>
      </x:c>
      <x:c r="AJ113" s="28" t="n">
        <x:f>'參數'!$C$43</x:f>
        <x:v>1</x:v>
      </x:c>
      <x:c r="AK113" s="28" t="n">
        <x:f>MAX(0,(IF($B113="dso",$D113,IF($C113="dso",$E113,'參數'!$C$32))-(1-AI113)*IF($B113="dpo",$D113,IF($C113="dpo",$E113,'參數'!$C$33)))/365)</x:f>
        <x:v>0.10989041095890413</x:v>
      </x:c>
      <x:c r="AL113" s="28" t="n">
        <x:f>IF(AK113=0,AB113,(MAX(0,AJ113)+IF($B113="credit",$D113,IF($C113="credit",$E113,'參數'!$C$37)))/AK113)</x:f>
        <x:v>36.399900274245816</x:v>
      </x:c>
      <x:c r="AM113" s="28" t="n">
        <x:f>MIN(AB113,AC113,AL113)</x:f>
        <x:v>8</x:v>
      </x:c>
      <x:c r="AN113" s="28" t="n">
        <x:f>IF(AB113=0,0,AM113*Y113/AB113)</x:f>
        <x:v>3.2</x:v>
      </x:c>
      <x:c r="AO113" s="28" t="n">
        <x:f>IF(AB113=0,0,AM113*Z113/AB113)</x:f>
        <x:v>4.8</x:v>
      </x:c>
      <x:c r="AP113" s="28" t="n">
        <x:f>IF(AB113=0,0,AM113*AA113/AB113)</x:f>
        <x:v>0</x:v>
      </x:c>
      <x:c r="AQ113" s="28" t="n">
        <x:f>V113+L113-AN113</x:f>
        <x:v>0.7999999999999998</x:v>
      </x:c>
      <x:c r="AR113" s="28" t="n">
        <x:f>W113+M113-AO113</x:f>
        <x:v>1.2000000000000002</x:v>
      </x:c>
      <x:c r="AS113" s="28" t="n">
        <x:f>X113+N113-AP113</x:f>
        <x:v>10</x:v>
      </x:c>
      <x:c r="AT113" s="28" t="n">
        <x:f>AQ113+AR113+AS113</x:f>
        <x:v>12</x:v>
      </x:c>
      <x:c r="AU113" s="28" t="n">
        <x:f>AN113*(1-AF113)+AO113*(1-AG113)+AP113*(1-AH113)</x:f>
        <x:v>6.651999999999999</x:v>
      </x:c>
      <x:c r="AV113" s="28" t="n">
        <x:f>AM113-AU113</x:f>
        <x:v>1.3480000000000008</x:v>
      </x:c>
      <x:c r="AW113" s="29" t="n">
        <x:f>IF(AM113=0,0,AV113/AM113)</x:f>
        <x:v>0.1685000000000001</x:v>
      </x:c>
      <x:c r="AX113" s="28" t="n">
        <x:f>IF($B113="head",$D113,IF($C113="head",$E113,'參數'!$C$29))*IF($B113="wage",$D113,IF($C113="wage",$E113,'參數'!$C$30))</x:f>
        <x:v>0.22</x:v>
      </x:c>
      <x:c r="AY113" s="28" t="n">
        <x:f>IF($B113="opex",$D113,IF($C113="opex",$E113,'參數'!$C$31))</x:f>
        <x:v>0.23</x:v>
      </x:c>
      <x:c r="AZ113" s="28" t="n">
        <x:f>AX113+AY113</x:f>
        <x:v>0.45</x:v>
      </x:c>
      <x:c r="BA113" s="28" t="n">
        <x:f>AV113-AZ113</x:f>
        <x:v>0.8980000000000008</x:v>
      </x:c>
      <x:c r="BB113" s="28" t="n">
        <x:f>AM113*AK113</x:f>
        <x:v>0.879123287671233</x:v>
      </x:c>
      <x:c r="BC113" s="28" t="n">
        <x:f>0</x:f>
        <x:v>0</x:v>
      </x:c>
      <x:c r="BD113" s="28" t="n">
        <x:f>MAX(0,BB113-MAX(0,AJ113))</x:f>
        <x:v>0</x:v>
      </x:c>
      <x:c r="BE113" s="28" t="n">
        <x:f>(BC113+BD113)/2</x:f>
        <x:v>0</x:v>
      </x:c>
      <x:c r="BF113" s="28" t="n">
        <x:f>BE113*IF($B113="rate",$D113,IF($C113="rate",$E113,'參數'!$C$34))</x:f>
        <x:v>0</x:v>
      </x:c>
      <x:c r="BG113" s="28" t="n">
        <x:f>IF($B113="nonop",$D113,IF($C113="nonop",$E113,'參數'!$C$36))</x:f>
        <x:v>0.02</x:v>
      </x:c>
      <x:c r="BH113" s="28" t="n">
        <x:f>BA113+BG113-BF113</x:f>
        <x:v>0.9180000000000008</x:v>
      </x:c>
      <x:c r="BI113" s="28" t="n">
        <x:f>MAX(0,BH113)*IF($B113="tax",$D113,IF($C113="tax",$E113,'參數'!$C$35))</x:f>
        <x:v>0.18360000000000018</x:v>
      </x:c>
      <x:c r="BJ113" s="28" t="n">
        <x:f>BH113-BI113</x:f>
        <x:v>0.7344000000000006</x:v>
      </x:c>
      <x:c r="BK113" s="29" t="n">
        <x:f>IF(AM113=0,0,BJ113/AM113)</x:f>
        <x:v>0.09180000000000008</x:v>
      </x:c>
      <x:c r="BL113" s="28" t="n">
        <x:f>IF(BJ113&gt;=0,BJ113*IF($B113="retain",$D113,IF($C113="retain",$E113,'參數'!$C$38)),BJ113)</x:f>
        <x:v>0.3672000000000003</x:v>
      </x:c>
      <x:c r="BM113" s="28" t="n">
        <x:f>AJ113+BL113</x:f>
        <x:v>1.3672000000000004</x:v>
      </x:c>
      <x:c r="BN113" s="28" t="n">
        <x:f>MAX(0,AB113-AC113)</x:f>
        <x:v>2</x:v>
      </x:c>
      <x:c r="BO113" s="28" t="n">
        <x:f>MAX(0,MIN(AB113,AC113)-AM113)</x:f>
        <x:v>0</x:v>
      </x:c>
    </x:row>
    <x:row r="114" ht="24" customHeight="1">
      <x:c r="A114" s="2" t="str">
        <x:v>雙因子4/3</x:v>
      </x:c>
      <x:c r="B114" s="2" t="str">
        <x:v>capacity</x:v>
      </x:c>
      <x:c r="C114" s="2" t="str">
        <x:v>shock</x:v>
      </x:c>
      <x:c r="D114" s="11" t="n">
        <x:f>'雙因子敏感性'!D$6</x:f>
        <x:v>10</x:v>
      </x:c>
      <x:c r="E114" s="11" t="n">
        <x:f>'參數'!C26+'雙因子敏感性'!$A10</x:f>
        <x:v>0.015</x:v>
      </x:c>
      <x:c r="F114" s="11" t="n">
        <x:f>'參數'!$C$47</x:f>
        <x:v>0</x:v>
      </x:c>
      <x:c r="G114" s="11" t="n">
        <x:f>'參數'!$C$48</x:f>
        <x:v>0</x:v>
      </x:c>
      <x:c r="H114" s="11" t="n">
        <x:f>'參數'!$C$49</x:f>
        <x:v>0</x:v>
      </x:c>
      <x:c r="I114" s="11" t="n">
        <x:f>F114+IF($B114="pE",$D114,IF($C114="pE",$E114,'參數'!$C$5))*IF($B114="scale",$D114,IF($C114="scale",$E114,'參數'!$C$8))</x:f>
        <x:v>10</x:v>
      </x:c>
      <x:c r="J114" s="11" t="n">
        <x:f>G114+IF($B114="pM",$D114,IF($C114="pM",$E114,'參數'!$C$6))*IF($B114="scale",$D114,IF($C114="scale",$E114,'參數'!$C$8))</x:f>
        <x:v>15</x:v>
      </x:c>
      <x:c r="K114" s="11" t="n">
        <x:f>H114+IF($B114="pA",$D114,IF($C114="pA",$E114,'參數'!$C$7))*IF($B114="scale",$D114,IF($C114="scale",$E114,'參數'!$C$8))</x:f>
        <x:v>50</x:v>
      </x:c>
      <x:c r="L114" s="11" t="n">
        <x:f>I114*IF($B114="winE",$D114,IF($C114="winE",$E114,'參數'!$C$9))</x:f>
        <x:v>4</x:v>
      </x:c>
      <x:c r="M114" s="28" t="n">
        <x:f>J114*IF($B114="winM",$D114,IF($C114="winM",$E114,'參數'!$C$10))</x:f>
        <x:v>6</x:v>
      </x:c>
      <x:c r="N114" s="28" t="n">
        <x:f>MIN(K114,IF($B114="readyA",$D114,IF($C114="readyA",$E114,'參數'!$C$11))*IF($B114="gateA",$D114,IF($C114="gateA",$E114,'參數'!$C$12)))</x:f>
        <x:v>10</x:v>
      </x:c>
      <x:c r="O114" s="28" t="n">
        <x:f>L114+M114+N114</x:f>
        <x:v>20</x:v>
      </x:c>
      <x:c r="P114" s="28" t="n">
        <x:f>(I114-L114)*IF($B114="attrition",$D114,IF($C114="attrition",$E114,'參數'!$C$13))</x:f>
        <x:v>1.2000000000000002</x:v>
      </x:c>
      <x:c r="Q114" s="28" t="n">
        <x:f>(J114-M114)*IF($B114="attrition",$D114,IF($C114="attrition",$E114,'參數'!$C$13))</x:f>
        <x:v>1.8</x:v>
      </x:c>
      <x:c r="R114" s="28" t="n">
        <x:f>(K114-N114)*IF($B114="attrition",$D114,IF($C114="attrition",$E114,'參數'!$C$13))</x:f>
        <x:v>8</x:v>
      </x:c>
      <x:c r="S114" s="28" t="n">
        <x:f>I114-L114-P114</x:f>
        <x:v>4.8</x:v>
      </x:c>
      <x:c r="T114" s="28" t="n">
        <x:f>J114-M114-Q114</x:f>
        <x:v>7.2</x:v>
      </x:c>
      <x:c r="U114" s="28" t="n">
        <x:f>K114-N114-R114</x:f>
        <x:v>32</x:v>
      </x:c>
      <x:c r="V114" s="28" t="n">
        <x:f>'參數'!$C$44</x:f>
        <x:v>0</x:v>
      </x:c>
      <x:c r="W114" s="28" t="n">
        <x:f>'參數'!$C$45</x:f>
        <x:v>0</x:v>
      </x:c>
      <x:c r="X114" s="28" t="n">
        <x:f>'參數'!$C$46</x:f>
        <x:v>0</x:v>
      </x:c>
      <x:c r="Y114" s="28" t="n">
        <x:f>V114*IF($B114="relE",$D114,IF($C114="relE",$E114,'參數'!$C$17))+L114*IF($B114="nowE",$D114,IF($C114="nowE",$E114,'參數'!$C$14))</x:f>
        <x:v>4</x:v>
      </x:c>
      <x:c r="Z114" s="28" t="n">
        <x:f>W114*IF($B114="relM",$D114,IF($C114="relM",$E114,'參數'!$C$18))+M114*IF($B114="nowM",$D114,IF($C114="nowM",$E114,'參數'!$C$15))</x:f>
        <x:v>6</x:v>
      </x:c>
      <x:c r="AA114" s="28" t="n">
        <x:f>X114*IF($B114="relA",$D114,IF($C114="relA",$E114,'參數'!$C$19))+N114*IF($B114="nowA",$D114,IF($C114="nowA",$E114,'參數'!$C$16))</x:f>
        <x:v>0</x:v>
      </x:c>
      <x:c r="AB114" s="28" t="n">
        <x:f>Y114+Z114+AA114</x:f>
        <x:v>10</x:v>
      </x:c>
      <x:c r="AC114" s="28" t="n">
        <x:f>IF($B114="capacity",$D114,IF($C114="capacity",$E114,'參數'!$C$20))</x:f>
        <x:v>10</x:v>
      </x:c>
      <x:c r="AD114" s="28" t="n">
        <x:f>IF(AC114=0,0,AB114/AC114)</x:f>
        <x:v>1</x:v>
      </x:c>
      <x:c r="AE114" s="29" t="n">
        <x:f>MAX(0,AD114-1)*IF($B114="congestion",$D114,IF($C114="congestion",$E114,'參數'!$C$28))</x:f>
        <x:v>0</x:v>
      </x:c>
      <x:c r="AF114" s="29" t="n">
        <x:f>1-(1-(IF($B114="gmE",$D114,IF($C114="gmE",$E114,'參數'!$C$21))+IF($B114="shock",$D114,IF($C114="shock",$E114,'參數'!$C$26))))*(1+IF($B114="inflation",$D114,IF($C114="inflation",$E114,'參數'!$C$27)))-AE114</x:f>
        <x:v>0.135</x:v>
      </x:c>
      <x:c r="AG114" s="29" t="n">
        <x:f>1-(1-(IF($B114="gmM",$D114,IF($C114="gmM",$E114,'參數'!$C$22))+IF($B114="dev",$D114,IF($C114="dev",$E114,'參數'!$C$23))*IF($B114="devReal",$D114,IF($C114="devReal",$E114,'參數'!$C$24))+IF($B114="shock",$D114,IF($C114="shock",$E114,'參數'!$C$26))))*(1+IF($B114="inflation",$D114,IF($C114="inflation",$E114,'參數'!$C$27)))-AE114</x:f>
        <x:v>0.19500000000000006</x:v>
      </x:c>
      <x:c r="AH114" s="29" t="n">
        <x:f>1-(1-(IF($B114="gmA",$D114,IF($C114="gmA",$E114,'參數'!$C$25))+IF($B114="shock",$D114,IF($C114="shock",$E114,'參數'!$C$26))))*(1+IF($B114="inflation",$D114,IF($C114="inflation",$E114,'參數'!$C$27)))-AE114</x:f>
        <x:v>0.17500000000000004</x:v>
      </x:c>
      <x:c r="AI114" s="29" t="n">
        <x:f>IF(AB114=0,0,(Y114*AF114+Z114*AG114+AA114*AH114)/AB114)</x:f>
        <x:v>0.17100000000000004</x:v>
      </x:c>
      <x:c r="AJ114" s="28" t="n">
        <x:f>'參數'!$C$43</x:f>
        <x:v>1</x:v>
      </x:c>
      <x:c r="AK114" s="28" t="n">
        <x:f>MAX(0,(IF($B114="dso",$D114,IF($C114="dso",$E114,'參數'!$C$32))-(1-AI114)*IF($B114="dpo",$D114,IF($C114="dpo",$E114,'參數'!$C$33)))/365)</x:f>
        <x:v>0.11030136986301371</x:v>
      </x:c>
      <x:c r="AL114" s="28" t="n">
        <x:f>IF(AK114=0,AB114,(MAX(0,AJ114)+IF($B114="credit",$D114,IF($C114="credit",$E114,'參數'!$C$37)))/AK114)</x:f>
        <x:v>36.26428216592151</x:v>
      </x:c>
      <x:c r="AM114" s="28" t="n">
        <x:f>MIN(AB114,AC114,AL114)</x:f>
        <x:v>10</x:v>
      </x:c>
      <x:c r="AN114" s="28" t="n">
        <x:f>IF(AB114=0,0,AM114*Y114/AB114)</x:f>
        <x:v>4</x:v>
      </x:c>
      <x:c r="AO114" s="28" t="n">
        <x:f>IF(AB114=0,0,AM114*Z114/AB114)</x:f>
        <x:v>6</x:v>
      </x:c>
      <x:c r="AP114" s="28" t="n">
        <x:f>IF(AB114=0,0,AM114*AA114/AB114)</x:f>
        <x:v>0</x:v>
      </x:c>
      <x:c r="AQ114" s="28" t="n">
        <x:f>V114+L114-AN114</x:f>
        <x:v>0</x:v>
      </x:c>
      <x:c r="AR114" s="28" t="n">
        <x:f>W114+M114-AO114</x:f>
        <x:v>0</x:v>
      </x:c>
      <x:c r="AS114" s="28" t="n">
        <x:f>X114+N114-AP114</x:f>
        <x:v>10</x:v>
      </x:c>
      <x:c r="AT114" s="28" t="n">
        <x:f>AQ114+AR114+AS114</x:f>
        <x:v>10</x:v>
      </x:c>
      <x:c r="AU114" s="28" t="n">
        <x:f>AN114*(1-AF114)+AO114*(1-AG114)+AP114*(1-AH114)</x:f>
        <x:v>8.29</x:v>
      </x:c>
      <x:c r="AV114" s="28" t="n">
        <x:f>AM114-AU114</x:f>
        <x:v>1.7100000000000009</x:v>
      </x:c>
      <x:c r="AW114" s="29" t="n">
        <x:f>IF(AM114=0,0,AV114/AM114)</x:f>
        <x:v>0.1710000000000001</x:v>
      </x:c>
      <x:c r="AX114" s="28" t="n">
        <x:f>IF($B114="head",$D114,IF($C114="head",$E114,'參數'!$C$29))*IF($B114="wage",$D114,IF($C114="wage",$E114,'參數'!$C$30))</x:f>
        <x:v>0.22</x:v>
      </x:c>
      <x:c r="AY114" s="28" t="n">
        <x:f>IF($B114="opex",$D114,IF($C114="opex",$E114,'參數'!$C$31))</x:f>
        <x:v>0.23</x:v>
      </x:c>
      <x:c r="AZ114" s="28" t="n">
        <x:f>AX114+AY114</x:f>
        <x:v>0.45</x:v>
      </x:c>
      <x:c r="BA114" s="28" t="n">
        <x:f>AV114-AZ114</x:f>
        <x:v>1.260000000000001</x:v>
      </x:c>
      <x:c r="BB114" s="28" t="n">
        <x:f>AM114*AK114</x:f>
        <x:v>1.103013698630137</x:v>
      </x:c>
      <x:c r="BC114" s="28" t="n">
        <x:f>0</x:f>
        <x:v>0</x:v>
      </x:c>
      <x:c r="BD114" s="28" t="n">
        <x:f>MAX(0,BB114-MAX(0,AJ114))</x:f>
        <x:v>0.1030136986301371</x:v>
      </x:c>
      <x:c r="BE114" s="28" t="n">
        <x:f>(BC114+BD114)/2</x:f>
        <x:v>0.05150684931506855</x:v>
      </x:c>
      <x:c r="BF114" s="28" t="n">
        <x:f>BE114*IF($B114="rate",$D114,IF($C114="rate",$E114,'參數'!$C$34))</x:f>
        <x:v>0.002060273972602742</x:v>
      </x:c>
      <x:c r="BG114" s="28" t="n">
        <x:f>IF($B114="nonop",$D114,IF($C114="nonop",$E114,'參數'!$C$36))</x:f>
        <x:v>0.02</x:v>
      </x:c>
      <x:c r="BH114" s="28" t="n">
        <x:f>BA114+BG114-BF114</x:f>
        <x:v>1.2779397260273981</x:v>
      </x:c>
      <x:c r="BI114" s="28" t="n">
        <x:f>MAX(0,BH114)*IF($B114="tax",$D114,IF($C114="tax",$E114,'參數'!$C$35))</x:f>
        <x:v>0.2555879452054796</x:v>
      </x:c>
      <x:c r="BJ114" s="28" t="n">
        <x:f>BH114-BI114</x:f>
        <x:v>1.0223517808219185</x:v>
      </x:c>
      <x:c r="BK114" s="29" t="n">
        <x:f>IF(AM114=0,0,BJ114/AM114)</x:f>
        <x:v>0.10223517808219185</x:v>
      </x:c>
      <x:c r="BL114" s="28" t="n">
        <x:f>IF(BJ114&gt;=0,BJ114*IF($B114="retain",$D114,IF($C114="retain",$E114,'參數'!$C$38)),BJ114)</x:f>
        <x:v>0.5111758904109592</x:v>
      </x:c>
      <x:c r="BM114" s="28" t="n">
        <x:f>AJ114+BL114</x:f>
        <x:v>1.5111758904109593</x:v>
      </x:c>
      <x:c r="BN114" s="28" t="n">
        <x:f>MAX(0,AB114-AC114)</x:f>
        <x:v>0</x:v>
      </x:c>
      <x:c r="BO114" s="28" t="n">
        <x:f>MAX(0,MIN(AB114,AC114)-AM114)</x:f>
        <x:v>0</x:v>
      </x:c>
    </x:row>
    <x:row r="115" ht="24" customHeight="1">
      <x:c r="A115" s="2" t="str">
        <x:v>雙因子4/4</x:v>
      </x:c>
      <x:c r="B115" s="2" t="str">
        <x:v>capacity</x:v>
      </x:c>
      <x:c r="C115" s="2" t="str">
        <x:v>shock</x:v>
      </x:c>
      <x:c r="D115" s="11" t="n">
        <x:f>'雙因子敏感性'!E$6</x:f>
        <x:v>12</x:v>
      </x:c>
      <x:c r="E115" s="11" t="n">
        <x:f>'參數'!C26+'雙因子敏感性'!$A10</x:f>
        <x:v>0.015</x:v>
      </x:c>
      <x:c r="F115" s="11" t="n">
        <x:f>'參數'!$C$47</x:f>
        <x:v>0</x:v>
      </x:c>
      <x:c r="G115" s="11" t="n">
        <x:f>'參數'!$C$48</x:f>
        <x:v>0</x:v>
      </x:c>
      <x:c r="H115" s="11" t="n">
        <x:f>'參數'!$C$49</x:f>
        <x:v>0</x:v>
      </x:c>
      <x:c r="I115" s="11" t="n">
        <x:f>F115+IF($B115="pE",$D115,IF($C115="pE",$E115,'參數'!$C$5))*IF($B115="scale",$D115,IF($C115="scale",$E115,'參數'!$C$8))</x:f>
        <x:v>10</x:v>
      </x:c>
      <x:c r="J115" s="11" t="n">
        <x:f>G115+IF($B115="pM",$D115,IF($C115="pM",$E115,'參數'!$C$6))*IF($B115="scale",$D115,IF($C115="scale",$E115,'參數'!$C$8))</x:f>
        <x:v>15</x:v>
      </x:c>
      <x:c r="K115" s="11" t="n">
        <x:f>H115+IF($B115="pA",$D115,IF($C115="pA",$E115,'參數'!$C$7))*IF($B115="scale",$D115,IF($C115="scale",$E115,'參數'!$C$8))</x:f>
        <x:v>50</x:v>
      </x:c>
      <x:c r="L115" s="11" t="n">
        <x:f>I115*IF($B115="winE",$D115,IF($C115="winE",$E115,'參數'!$C$9))</x:f>
        <x:v>4</x:v>
      </x:c>
      <x:c r="M115" s="28" t="n">
        <x:f>J115*IF($B115="winM",$D115,IF($C115="winM",$E115,'參數'!$C$10))</x:f>
        <x:v>6</x:v>
      </x:c>
      <x:c r="N115" s="28" t="n">
        <x:f>MIN(K115,IF($B115="readyA",$D115,IF($C115="readyA",$E115,'參數'!$C$11))*IF($B115="gateA",$D115,IF($C115="gateA",$E115,'參數'!$C$12)))</x:f>
        <x:v>10</x:v>
      </x:c>
      <x:c r="O115" s="28" t="n">
        <x:f>L115+M115+N115</x:f>
        <x:v>20</x:v>
      </x:c>
      <x:c r="P115" s="28" t="n">
        <x:f>(I115-L115)*IF($B115="attrition",$D115,IF($C115="attrition",$E115,'參數'!$C$13))</x:f>
        <x:v>1.2000000000000002</x:v>
      </x:c>
      <x:c r="Q115" s="28" t="n">
        <x:f>(J115-M115)*IF($B115="attrition",$D115,IF($C115="attrition",$E115,'參數'!$C$13))</x:f>
        <x:v>1.8</x:v>
      </x:c>
      <x:c r="R115" s="28" t="n">
        <x:f>(K115-N115)*IF($B115="attrition",$D115,IF($C115="attrition",$E115,'參數'!$C$13))</x:f>
        <x:v>8</x:v>
      </x:c>
      <x:c r="S115" s="28" t="n">
        <x:f>I115-L115-P115</x:f>
        <x:v>4.8</x:v>
      </x:c>
      <x:c r="T115" s="28" t="n">
        <x:f>J115-M115-Q115</x:f>
        <x:v>7.2</x:v>
      </x:c>
      <x:c r="U115" s="28" t="n">
        <x:f>K115-N115-R115</x:f>
        <x:v>32</x:v>
      </x:c>
      <x:c r="V115" s="28" t="n">
        <x:f>'參數'!$C$44</x:f>
        <x:v>0</x:v>
      </x:c>
      <x:c r="W115" s="28" t="n">
        <x:f>'參數'!$C$45</x:f>
        <x:v>0</x:v>
      </x:c>
      <x:c r="X115" s="28" t="n">
        <x:f>'參數'!$C$46</x:f>
        <x:v>0</x:v>
      </x:c>
      <x:c r="Y115" s="28" t="n">
        <x:f>V115*IF($B115="relE",$D115,IF($C115="relE",$E115,'參數'!$C$17))+L115*IF($B115="nowE",$D115,IF($C115="nowE",$E115,'參數'!$C$14))</x:f>
        <x:v>4</x:v>
      </x:c>
      <x:c r="Z115" s="28" t="n">
        <x:f>W115*IF($B115="relM",$D115,IF($C115="relM",$E115,'參數'!$C$18))+M115*IF($B115="nowM",$D115,IF($C115="nowM",$E115,'參數'!$C$15))</x:f>
        <x:v>6</x:v>
      </x:c>
      <x:c r="AA115" s="28" t="n">
        <x:f>X115*IF($B115="relA",$D115,IF($C115="relA",$E115,'參數'!$C$19))+N115*IF($B115="nowA",$D115,IF($C115="nowA",$E115,'參數'!$C$16))</x:f>
        <x:v>0</x:v>
      </x:c>
      <x:c r="AB115" s="28" t="n">
        <x:f>Y115+Z115+AA115</x:f>
        <x:v>10</x:v>
      </x:c>
      <x:c r="AC115" s="28" t="n">
        <x:f>IF($B115="capacity",$D115,IF($C115="capacity",$E115,'參數'!$C$20))</x:f>
        <x:v>12</x:v>
      </x:c>
      <x:c r="AD115" s="28" t="n">
        <x:f>IF(AC115=0,0,AB115/AC115)</x:f>
        <x:v>0.8333333333333334</x:v>
      </x:c>
      <x:c r="AE115" s="29" t="n">
        <x:f>MAX(0,AD115-1)*IF($B115="congestion",$D115,IF($C115="congestion",$E115,'參數'!$C$28))</x:f>
        <x:v>0</x:v>
      </x:c>
      <x:c r="AF115" s="29" t="n">
        <x:f>1-(1-(IF($B115="gmE",$D115,IF($C115="gmE",$E115,'參數'!$C$21))+IF($B115="shock",$D115,IF($C115="shock",$E115,'參數'!$C$26))))*(1+IF($B115="inflation",$D115,IF($C115="inflation",$E115,'參數'!$C$27)))-AE115</x:f>
        <x:v>0.135</x:v>
      </x:c>
      <x:c r="AG115" s="29" t="n">
        <x:f>1-(1-(IF($B115="gmM",$D115,IF($C115="gmM",$E115,'參數'!$C$22))+IF($B115="dev",$D115,IF($C115="dev",$E115,'參數'!$C$23))*IF($B115="devReal",$D115,IF($C115="devReal",$E115,'參數'!$C$24))+IF($B115="shock",$D115,IF($C115="shock",$E115,'參數'!$C$26))))*(1+IF($B115="inflation",$D115,IF($C115="inflation",$E115,'參數'!$C$27)))-AE115</x:f>
        <x:v>0.19500000000000006</x:v>
      </x:c>
      <x:c r="AH115" s="29" t="n">
        <x:f>1-(1-(IF($B115="gmA",$D115,IF($C115="gmA",$E115,'參數'!$C$25))+IF($B115="shock",$D115,IF($C115="shock",$E115,'參數'!$C$26))))*(1+IF($B115="inflation",$D115,IF($C115="inflation",$E115,'參數'!$C$27)))-AE115</x:f>
        <x:v>0.17500000000000004</x:v>
      </x:c>
      <x:c r="AI115" s="29" t="n">
        <x:f>IF(AB115=0,0,(Y115*AF115+Z115*AG115+AA115*AH115)/AB115)</x:f>
        <x:v>0.17100000000000004</x:v>
      </x:c>
      <x:c r="AJ115" s="28" t="n">
        <x:f>'參數'!$C$43</x:f>
        <x:v>1</x:v>
      </x:c>
      <x:c r="AK115" s="28" t="n">
        <x:f>MAX(0,(IF($B115="dso",$D115,IF($C115="dso",$E115,'參數'!$C$32))-(1-AI115)*IF($B115="dpo",$D115,IF($C115="dpo",$E115,'參數'!$C$33)))/365)</x:f>
        <x:v>0.11030136986301371</x:v>
      </x:c>
      <x:c r="AL115" s="28" t="n">
        <x:f>IF(AK115=0,AB115,(MAX(0,AJ115)+IF($B115="credit",$D115,IF($C115="credit",$E115,'參數'!$C$37)))/AK115)</x:f>
        <x:v>36.26428216592151</x:v>
      </x:c>
      <x:c r="AM115" s="28" t="n">
        <x:f>MIN(AB115,AC115,AL115)</x:f>
        <x:v>10</x:v>
      </x:c>
      <x:c r="AN115" s="28" t="n">
        <x:f>IF(AB115=0,0,AM115*Y115/AB115)</x:f>
        <x:v>4</x:v>
      </x:c>
      <x:c r="AO115" s="28" t="n">
        <x:f>IF(AB115=0,0,AM115*Z115/AB115)</x:f>
        <x:v>6</x:v>
      </x:c>
      <x:c r="AP115" s="28" t="n">
        <x:f>IF(AB115=0,0,AM115*AA115/AB115)</x:f>
        <x:v>0</x:v>
      </x:c>
      <x:c r="AQ115" s="28" t="n">
        <x:f>V115+L115-AN115</x:f>
        <x:v>0</x:v>
      </x:c>
      <x:c r="AR115" s="28" t="n">
        <x:f>W115+M115-AO115</x:f>
        <x:v>0</x:v>
      </x:c>
      <x:c r="AS115" s="28" t="n">
        <x:f>X115+N115-AP115</x:f>
        <x:v>10</x:v>
      </x:c>
      <x:c r="AT115" s="28" t="n">
        <x:f>AQ115+AR115+AS115</x:f>
        <x:v>10</x:v>
      </x:c>
      <x:c r="AU115" s="28" t="n">
        <x:f>AN115*(1-AF115)+AO115*(1-AG115)+AP115*(1-AH115)</x:f>
        <x:v>8.29</x:v>
      </x:c>
      <x:c r="AV115" s="28" t="n">
        <x:f>AM115-AU115</x:f>
        <x:v>1.7100000000000009</x:v>
      </x:c>
      <x:c r="AW115" s="29" t="n">
        <x:f>IF(AM115=0,0,AV115/AM115)</x:f>
        <x:v>0.1710000000000001</x:v>
      </x:c>
      <x:c r="AX115" s="28" t="n">
        <x:f>IF($B115="head",$D115,IF($C115="head",$E115,'參數'!$C$29))*IF($B115="wage",$D115,IF($C115="wage",$E115,'參數'!$C$30))</x:f>
        <x:v>0.22</x:v>
      </x:c>
      <x:c r="AY115" s="28" t="n">
        <x:f>IF($B115="opex",$D115,IF($C115="opex",$E115,'參數'!$C$31))</x:f>
        <x:v>0.23</x:v>
      </x:c>
      <x:c r="AZ115" s="28" t="n">
        <x:f>AX115+AY115</x:f>
        <x:v>0.45</x:v>
      </x:c>
      <x:c r="BA115" s="28" t="n">
        <x:f>AV115-AZ115</x:f>
        <x:v>1.260000000000001</x:v>
      </x:c>
      <x:c r="BB115" s="28" t="n">
        <x:f>AM115*AK115</x:f>
        <x:v>1.103013698630137</x:v>
      </x:c>
      <x:c r="BC115" s="28" t="n">
        <x:f>0</x:f>
        <x:v>0</x:v>
      </x:c>
      <x:c r="BD115" s="28" t="n">
        <x:f>MAX(0,BB115-MAX(0,AJ115))</x:f>
        <x:v>0.1030136986301371</x:v>
      </x:c>
      <x:c r="BE115" s="28" t="n">
        <x:f>(BC115+BD115)/2</x:f>
        <x:v>0.05150684931506855</x:v>
      </x:c>
      <x:c r="BF115" s="28" t="n">
        <x:f>BE115*IF($B115="rate",$D115,IF($C115="rate",$E115,'參數'!$C$34))</x:f>
        <x:v>0.002060273972602742</x:v>
      </x:c>
      <x:c r="BG115" s="28" t="n">
        <x:f>IF($B115="nonop",$D115,IF($C115="nonop",$E115,'參數'!$C$36))</x:f>
        <x:v>0.02</x:v>
      </x:c>
      <x:c r="BH115" s="28" t="n">
        <x:f>BA115+BG115-BF115</x:f>
        <x:v>1.2779397260273981</x:v>
      </x:c>
      <x:c r="BI115" s="28" t="n">
        <x:f>MAX(0,BH115)*IF($B115="tax",$D115,IF($C115="tax",$E115,'參數'!$C$35))</x:f>
        <x:v>0.2555879452054796</x:v>
      </x:c>
      <x:c r="BJ115" s="28" t="n">
        <x:f>BH115-BI115</x:f>
        <x:v>1.0223517808219185</x:v>
      </x:c>
      <x:c r="BK115" s="29" t="n">
        <x:f>IF(AM115=0,0,BJ115/AM115)</x:f>
        <x:v>0.10223517808219185</x:v>
      </x:c>
      <x:c r="BL115" s="28" t="n">
        <x:f>IF(BJ115&gt;=0,BJ115*IF($B115="retain",$D115,IF($C115="retain",$E115,'參數'!$C$38)),BJ115)</x:f>
        <x:v>0.5111758904109592</x:v>
      </x:c>
      <x:c r="BM115" s="28" t="n">
        <x:f>AJ115+BL115</x:f>
        <x:v>1.5111758904109593</x:v>
      </x:c>
      <x:c r="BN115" s="28" t="n">
        <x:f>MAX(0,AB115-AC115)</x:f>
        <x:v>0</x:v>
      </x:c>
      <x:c r="BO115" s="28" t="n">
        <x:f>MAX(0,MIN(AB115,AC115)-AM115)</x:f>
        <x:v>0</x:v>
      </x:c>
    </x:row>
    <x:row r="116" ht="24" customHeight="1">
      <x:c r="A116" s="2" t="str">
        <x:v>雙因子4/5</x:v>
      </x:c>
      <x:c r="B116" s="2" t="str">
        <x:v>capacity</x:v>
      </x:c>
      <x:c r="C116" s="2" t="str">
        <x:v>shock</x:v>
      </x:c>
      <x:c r="D116" s="11" t="n">
        <x:f>'雙因子敏感性'!F$6</x:f>
        <x:v>14</x:v>
      </x:c>
      <x:c r="E116" s="11" t="n">
        <x:f>'參數'!C26+'雙因子敏感性'!$A10</x:f>
        <x:v>0.015</x:v>
      </x:c>
      <x:c r="F116" s="11" t="n">
        <x:f>'參數'!$C$47</x:f>
        <x:v>0</x:v>
      </x:c>
      <x:c r="G116" s="11" t="n">
        <x:f>'參數'!$C$48</x:f>
        <x:v>0</x:v>
      </x:c>
      <x:c r="H116" s="11" t="n">
        <x:f>'參數'!$C$49</x:f>
        <x:v>0</x:v>
      </x:c>
      <x:c r="I116" s="11" t="n">
        <x:f>F116+IF($B116="pE",$D116,IF($C116="pE",$E116,'參數'!$C$5))*IF($B116="scale",$D116,IF($C116="scale",$E116,'參數'!$C$8))</x:f>
        <x:v>10</x:v>
      </x:c>
      <x:c r="J116" s="11" t="n">
        <x:f>G116+IF($B116="pM",$D116,IF($C116="pM",$E116,'參數'!$C$6))*IF($B116="scale",$D116,IF($C116="scale",$E116,'參數'!$C$8))</x:f>
        <x:v>15</x:v>
      </x:c>
      <x:c r="K116" s="11" t="n">
        <x:f>H116+IF($B116="pA",$D116,IF($C116="pA",$E116,'參數'!$C$7))*IF($B116="scale",$D116,IF($C116="scale",$E116,'參數'!$C$8))</x:f>
        <x:v>50</x:v>
      </x:c>
      <x:c r="L116" s="11" t="n">
        <x:f>I116*IF($B116="winE",$D116,IF($C116="winE",$E116,'參數'!$C$9))</x:f>
        <x:v>4</x:v>
      </x:c>
      <x:c r="M116" s="28" t="n">
        <x:f>J116*IF($B116="winM",$D116,IF($C116="winM",$E116,'參數'!$C$10))</x:f>
        <x:v>6</x:v>
      </x:c>
      <x:c r="N116" s="28" t="n">
        <x:f>MIN(K116,IF($B116="readyA",$D116,IF($C116="readyA",$E116,'參數'!$C$11))*IF($B116="gateA",$D116,IF($C116="gateA",$E116,'參數'!$C$12)))</x:f>
        <x:v>10</x:v>
      </x:c>
      <x:c r="O116" s="28" t="n">
        <x:f>L116+M116+N116</x:f>
        <x:v>20</x:v>
      </x:c>
      <x:c r="P116" s="28" t="n">
        <x:f>(I116-L116)*IF($B116="attrition",$D116,IF($C116="attrition",$E116,'參數'!$C$13))</x:f>
        <x:v>1.2000000000000002</x:v>
      </x:c>
      <x:c r="Q116" s="28" t="n">
        <x:f>(J116-M116)*IF($B116="attrition",$D116,IF($C116="attrition",$E116,'參數'!$C$13))</x:f>
        <x:v>1.8</x:v>
      </x:c>
      <x:c r="R116" s="28" t="n">
        <x:f>(K116-N116)*IF($B116="attrition",$D116,IF($C116="attrition",$E116,'參數'!$C$13))</x:f>
        <x:v>8</x:v>
      </x:c>
      <x:c r="S116" s="28" t="n">
        <x:f>I116-L116-P116</x:f>
        <x:v>4.8</x:v>
      </x:c>
      <x:c r="T116" s="28" t="n">
        <x:f>J116-M116-Q116</x:f>
        <x:v>7.2</x:v>
      </x:c>
      <x:c r="U116" s="28" t="n">
        <x:f>K116-N116-R116</x:f>
        <x:v>32</x:v>
      </x:c>
      <x:c r="V116" s="28" t="n">
        <x:f>'參數'!$C$44</x:f>
        <x:v>0</x:v>
      </x:c>
      <x:c r="W116" s="28" t="n">
        <x:f>'參數'!$C$45</x:f>
        <x:v>0</x:v>
      </x:c>
      <x:c r="X116" s="28" t="n">
        <x:f>'參數'!$C$46</x:f>
        <x:v>0</x:v>
      </x:c>
      <x:c r="Y116" s="28" t="n">
        <x:f>V116*IF($B116="relE",$D116,IF($C116="relE",$E116,'參數'!$C$17))+L116*IF($B116="nowE",$D116,IF($C116="nowE",$E116,'參數'!$C$14))</x:f>
        <x:v>4</x:v>
      </x:c>
      <x:c r="Z116" s="28" t="n">
        <x:f>W116*IF($B116="relM",$D116,IF($C116="relM",$E116,'參數'!$C$18))+M116*IF($B116="nowM",$D116,IF($C116="nowM",$E116,'參數'!$C$15))</x:f>
        <x:v>6</x:v>
      </x:c>
      <x:c r="AA116" s="28" t="n">
        <x:f>X116*IF($B116="relA",$D116,IF($C116="relA",$E116,'參數'!$C$19))+N116*IF($B116="nowA",$D116,IF($C116="nowA",$E116,'參數'!$C$16))</x:f>
        <x:v>0</x:v>
      </x:c>
      <x:c r="AB116" s="28" t="n">
        <x:f>Y116+Z116+AA116</x:f>
        <x:v>10</x:v>
      </x:c>
      <x:c r="AC116" s="28" t="n">
        <x:f>IF($B116="capacity",$D116,IF($C116="capacity",$E116,'參數'!$C$20))</x:f>
        <x:v>14</x:v>
      </x:c>
      <x:c r="AD116" s="28" t="n">
        <x:f>IF(AC116=0,0,AB116/AC116)</x:f>
        <x:v>0.7142857142857143</x:v>
      </x:c>
      <x:c r="AE116" s="29" t="n">
        <x:f>MAX(0,AD116-1)*IF($B116="congestion",$D116,IF($C116="congestion",$E116,'參數'!$C$28))</x:f>
        <x:v>0</x:v>
      </x:c>
      <x:c r="AF116" s="29" t="n">
        <x:f>1-(1-(IF($B116="gmE",$D116,IF($C116="gmE",$E116,'參數'!$C$21))+IF($B116="shock",$D116,IF($C116="shock",$E116,'參數'!$C$26))))*(1+IF($B116="inflation",$D116,IF($C116="inflation",$E116,'參數'!$C$27)))-AE116</x:f>
        <x:v>0.135</x:v>
      </x:c>
      <x:c r="AG116" s="29" t="n">
        <x:f>1-(1-(IF($B116="gmM",$D116,IF($C116="gmM",$E116,'參數'!$C$22))+IF($B116="dev",$D116,IF($C116="dev",$E116,'參數'!$C$23))*IF($B116="devReal",$D116,IF($C116="devReal",$E116,'參數'!$C$24))+IF($B116="shock",$D116,IF($C116="shock",$E116,'參數'!$C$26))))*(1+IF($B116="inflation",$D116,IF($C116="inflation",$E116,'參數'!$C$27)))-AE116</x:f>
        <x:v>0.19500000000000006</x:v>
      </x:c>
      <x:c r="AH116" s="29" t="n">
        <x:f>1-(1-(IF($B116="gmA",$D116,IF($C116="gmA",$E116,'參數'!$C$25))+IF($B116="shock",$D116,IF($C116="shock",$E116,'參數'!$C$26))))*(1+IF($B116="inflation",$D116,IF($C116="inflation",$E116,'參數'!$C$27)))-AE116</x:f>
        <x:v>0.17500000000000004</x:v>
      </x:c>
      <x:c r="AI116" s="29" t="n">
        <x:f>IF(AB116=0,0,(Y116*AF116+Z116*AG116+AA116*AH116)/AB116)</x:f>
        <x:v>0.17100000000000004</x:v>
      </x:c>
      <x:c r="AJ116" s="28" t="n">
        <x:f>'參數'!$C$43</x:f>
        <x:v>1</x:v>
      </x:c>
      <x:c r="AK116" s="28" t="n">
        <x:f>MAX(0,(IF($B116="dso",$D116,IF($C116="dso",$E116,'參數'!$C$32))-(1-AI116)*IF($B116="dpo",$D116,IF($C116="dpo",$E116,'參數'!$C$33)))/365)</x:f>
        <x:v>0.11030136986301371</x:v>
      </x:c>
      <x:c r="AL116" s="28" t="n">
        <x:f>IF(AK116=0,AB116,(MAX(0,AJ116)+IF($B116="credit",$D116,IF($C116="credit",$E116,'參數'!$C$37)))/AK116)</x:f>
        <x:v>36.26428216592151</x:v>
      </x:c>
      <x:c r="AM116" s="28" t="n">
        <x:f>MIN(AB116,AC116,AL116)</x:f>
        <x:v>10</x:v>
      </x:c>
      <x:c r="AN116" s="28" t="n">
        <x:f>IF(AB116=0,0,AM116*Y116/AB116)</x:f>
        <x:v>4</x:v>
      </x:c>
      <x:c r="AO116" s="28" t="n">
        <x:f>IF(AB116=0,0,AM116*Z116/AB116)</x:f>
        <x:v>6</x:v>
      </x:c>
      <x:c r="AP116" s="28" t="n">
        <x:f>IF(AB116=0,0,AM116*AA116/AB116)</x:f>
        <x:v>0</x:v>
      </x:c>
      <x:c r="AQ116" s="28" t="n">
        <x:f>V116+L116-AN116</x:f>
        <x:v>0</x:v>
      </x:c>
      <x:c r="AR116" s="28" t="n">
        <x:f>W116+M116-AO116</x:f>
        <x:v>0</x:v>
      </x:c>
      <x:c r="AS116" s="28" t="n">
        <x:f>X116+N116-AP116</x:f>
        <x:v>10</x:v>
      </x:c>
      <x:c r="AT116" s="28" t="n">
        <x:f>AQ116+AR116+AS116</x:f>
        <x:v>10</x:v>
      </x:c>
      <x:c r="AU116" s="28" t="n">
        <x:f>AN116*(1-AF116)+AO116*(1-AG116)+AP116*(1-AH116)</x:f>
        <x:v>8.29</x:v>
      </x:c>
      <x:c r="AV116" s="28" t="n">
        <x:f>AM116-AU116</x:f>
        <x:v>1.7100000000000009</x:v>
      </x:c>
      <x:c r="AW116" s="29" t="n">
        <x:f>IF(AM116=0,0,AV116/AM116)</x:f>
        <x:v>0.1710000000000001</x:v>
      </x:c>
      <x:c r="AX116" s="28" t="n">
        <x:f>IF($B116="head",$D116,IF($C116="head",$E116,'參數'!$C$29))*IF($B116="wage",$D116,IF($C116="wage",$E116,'參數'!$C$30))</x:f>
        <x:v>0.22</x:v>
      </x:c>
      <x:c r="AY116" s="28" t="n">
        <x:f>IF($B116="opex",$D116,IF($C116="opex",$E116,'參數'!$C$31))</x:f>
        <x:v>0.23</x:v>
      </x:c>
      <x:c r="AZ116" s="28" t="n">
        <x:f>AX116+AY116</x:f>
        <x:v>0.45</x:v>
      </x:c>
      <x:c r="BA116" s="28" t="n">
        <x:f>AV116-AZ116</x:f>
        <x:v>1.260000000000001</x:v>
      </x:c>
      <x:c r="BB116" s="28" t="n">
        <x:f>AM116*AK116</x:f>
        <x:v>1.103013698630137</x:v>
      </x:c>
      <x:c r="BC116" s="28" t="n">
        <x:f>0</x:f>
        <x:v>0</x:v>
      </x:c>
      <x:c r="BD116" s="28" t="n">
        <x:f>MAX(0,BB116-MAX(0,AJ116))</x:f>
        <x:v>0.1030136986301371</x:v>
      </x:c>
      <x:c r="BE116" s="28" t="n">
        <x:f>(BC116+BD116)/2</x:f>
        <x:v>0.05150684931506855</x:v>
      </x:c>
      <x:c r="BF116" s="28" t="n">
        <x:f>BE116*IF($B116="rate",$D116,IF($C116="rate",$E116,'參數'!$C$34))</x:f>
        <x:v>0.002060273972602742</x:v>
      </x:c>
      <x:c r="BG116" s="28" t="n">
        <x:f>IF($B116="nonop",$D116,IF($C116="nonop",$E116,'參數'!$C$36))</x:f>
        <x:v>0.02</x:v>
      </x:c>
      <x:c r="BH116" s="28" t="n">
        <x:f>BA116+BG116-BF116</x:f>
        <x:v>1.2779397260273981</x:v>
      </x:c>
      <x:c r="BI116" s="28" t="n">
        <x:f>MAX(0,BH116)*IF($B116="tax",$D116,IF($C116="tax",$E116,'參數'!$C$35))</x:f>
        <x:v>0.2555879452054796</x:v>
      </x:c>
      <x:c r="BJ116" s="28" t="n">
        <x:f>BH116-BI116</x:f>
        <x:v>1.0223517808219185</x:v>
      </x:c>
      <x:c r="BK116" s="29" t="n">
        <x:f>IF(AM116=0,0,BJ116/AM116)</x:f>
        <x:v>0.10223517808219185</x:v>
      </x:c>
      <x:c r="BL116" s="28" t="n">
        <x:f>IF(BJ116&gt;=0,BJ116*IF($B116="retain",$D116,IF($C116="retain",$E116,'參數'!$C$38)),BJ116)</x:f>
        <x:v>0.5111758904109592</x:v>
      </x:c>
      <x:c r="BM116" s="28" t="n">
        <x:f>AJ116+BL116</x:f>
        <x:v>1.5111758904109593</x:v>
      </x:c>
      <x:c r="BN116" s="28" t="n">
        <x:f>MAX(0,AB116-AC116)</x:f>
        <x:v>0</x:v>
      </x:c>
      <x:c r="BO116" s="28" t="n">
        <x:f>MAX(0,MIN(AB116,AC116)-AM116)</x:f>
        <x:v>0</x:v>
      </x:c>
    </x:row>
    <x:row r="117" ht="24" customHeight="1">
      <x:c r="A117" s="2" t="str">
        <x:v>雙因子5/1</x:v>
      </x:c>
      <x:c r="B117" s="2" t="str">
        <x:v>capacity</x:v>
      </x:c>
      <x:c r="C117" s="2" t="str">
        <x:v>shock</x:v>
      </x:c>
      <x:c r="D117" s="11" t="n">
        <x:f>'雙因子敏感性'!B$6</x:f>
        <x:v>6</x:v>
      </x:c>
      <x:c r="E117" s="11" t="n">
        <x:f>'參數'!C26+'雙因子敏感性'!$A11</x:f>
        <x:v>0.03</x:v>
      </x:c>
      <x:c r="F117" s="11" t="n">
        <x:f>'參數'!$C$47</x:f>
        <x:v>0</x:v>
      </x:c>
      <x:c r="G117" s="11" t="n">
        <x:f>'參數'!$C$48</x:f>
        <x:v>0</x:v>
      </x:c>
      <x:c r="H117" s="11" t="n">
        <x:f>'參數'!$C$49</x:f>
        <x:v>0</x:v>
      </x:c>
      <x:c r="I117" s="11" t="n">
        <x:f>F117+IF($B117="pE",$D117,IF($C117="pE",$E117,'參數'!$C$5))*IF($B117="scale",$D117,IF($C117="scale",$E117,'參數'!$C$8))</x:f>
        <x:v>10</x:v>
      </x:c>
      <x:c r="J117" s="11" t="n">
        <x:f>G117+IF($B117="pM",$D117,IF($C117="pM",$E117,'參數'!$C$6))*IF($B117="scale",$D117,IF($C117="scale",$E117,'參數'!$C$8))</x:f>
        <x:v>15</x:v>
      </x:c>
      <x:c r="K117" s="11" t="n">
        <x:f>H117+IF($B117="pA",$D117,IF($C117="pA",$E117,'參數'!$C$7))*IF($B117="scale",$D117,IF($C117="scale",$E117,'參數'!$C$8))</x:f>
        <x:v>50</x:v>
      </x:c>
      <x:c r="L117" s="11" t="n">
        <x:f>I117*IF($B117="winE",$D117,IF($C117="winE",$E117,'參數'!$C$9))</x:f>
        <x:v>4</x:v>
      </x:c>
      <x:c r="M117" s="28" t="n">
        <x:f>J117*IF($B117="winM",$D117,IF($C117="winM",$E117,'參數'!$C$10))</x:f>
        <x:v>6</x:v>
      </x:c>
      <x:c r="N117" s="28" t="n">
        <x:f>MIN(K117,IF($B117="readyA",$D117,IF($C117="readyA",$E117,'參數'!$C$11))*IF($B117="gateA",$D117,IF($C117="gateA",$E117,'參數'!$C$12)))</x:f>
        <x:v>10</x:v>
      </x:c>
      <x:c r="O117" s="28" t="n">
        <x:f>L117+M117+N117</x:f>
        <x:v>20</x:v>
      </x:c>
      <x:c r="P117" s="28" t="n">
        <x:f>(I117-L117)*IF($B117="attrition",$D117,IF($C117="attrition",$E117,'參數'!$C$13))</x:f>
        <x:v>1.2000000000000002</x:v>
      </x:c>
      <x:c r="Q117" s="28" t="n">
        <x:f>(J117-M117)*IF($B117="attrition",$D117,IF($C117="attrition",$E117,'參數'!$C$13))</x:f>
        <x:v>1.8</x:v>
      </x:c>
      <x:c r="R117" s="28" t="n">
        <x:f>(K117-N117)*IF($B117="attrition",$D117,IF($C117="attrition",$E117,'參數'!$C$13))</x:f>
        <x:v>8</x:v>
      </x:c>
      <x:c r="S117" s="28" t="n">
        <x:f>I117-L117-P117</x:f>
        <x:v>4.8</x:v>
      </x:c>
      <x:c r="T117" s="28" t="n">
        <x:f>J117-M117-Q117</x:f>
        <x:v>7.2</x:v>
      </x:c>
      <x:c r="U117" s="28" t="n">
        <x:f>K117-N117-R117</x:f>
        <x:v>32</x:v>
      </x:c>
      <x:c r="V117" s="28" t="n">
        <x:f>'參數'!$C$44</x:f>
        <x:v>0</x:v>
      </x:c>
      <x:c r="W117" s="28" t="n">
        <x:f>'參數'!$C$45</x:f>
        <x:v>0</x:v>
      </x:c>
      <x:c r="X117" s="28" t="n">
        <x:f>'參數'!$C$46</x:f>
        <x:v>0</x:v>
      </x:c>
      <x:c r="Y117" s="28" t="n">
        <x:f>V117*IF($B117="relE",$D117,IF($C117="relE",$E117,'參數'!$C$17))+L117*IF($B117="nowE",$D117,IF($C117="nowE",$E117,'參數'!$C$14))</x:f>
        <x:v>4</x:v>
      </x:c>
      <x:c r="Z117" s="28" t="n">
        <x:f>W117*IF($B117="relM",$D117,IF($C117="relM",$E117,'參數'!$C$18))+M117*IF($B117="nowM",$D117,IF($C117="nowM",$E117,'參數'!$C$15))</x:f>
        <x:v>6</x:v>
      </x:c>
      <x:c r="AA117" s="28" t="n">
        <x:f>X117*IF($B117="relA",$D117,IF($C117="relA",$E117,'參數'!$C$19))+N117*IF($B117="nowA",$D117,IF($C117="nowA",$E117,'參數'!$C$16))</x:f>
        <x:v>0</x:v>
      </x:c>
      <x:c r="AB117" s="28" t="n">
        <x:f>Y117+Z117+AA117</x:f>
        <x:v>10</x:v>
      </x:c>
      <x:c r="AC117" s="28" t="n">
        <x:f>IF($B117="capacity",$D117,IF($C117="capacity",$E117,'參數'!$C$20))</x:f>
        <x:v>6</x:v>
      </x:c>
      <x:c r="AD117" s="28" t="n">
        <x:f>IF(AC117=0,0,AB117/AC117)</x:f>
        <x:v>1.6666666666666667</x:v>
      </x:c>
      <x:c r="AE117" s="29" t="n">
        <x:f>MAX(0,AD117-1)*IF($B117="congestion",$D117,IF($C117="congestion",$E117,'參數'!$C$28))</x:f>
        <x:v>0.006666666666666668</x:v>
      </x:c>
      <x:c r="AF117" s="29" t="n">
        <x:f>1-(1-(IF($B117="gmE",$D117,IF($C117="gmE",$E117,'參數'!$C$21))+IF($B117="shock",$D117,IF($C117="shock",$E117,'參數'!$C$26))))*(1+IF($B117="inflation",$D117,IF($C117="inflation",$E117,'參數'!$C$27)))-AE117</x:f>
        <x:v>0.14333333333333337</x:v>
      </x:c>
      <x:c r="AG117" s="29" t="n">
        <x:f>1-(1-(IF($B117="gmM",$D117,IF($C117="gmM",$E117,'參數'!$C$22))+IF($B117="dev",$D117,IF($C117="dev",$E117,'參數'!$C$23))*IF($B117="devReal",$D117,IF($C117="devReal",$E117,'參數'!$C$24))+IF($B117="shock",$D117,IF($C117="shock",$E117,'參數'!$C$26))))*(1+IF($B117="inflation",$D117,IF($C117="inflation",$E117,'參數'!$C$27)))-AE117</x:f>
        <x:v>0.2033333333333333</x:v>
      </x:c>
      <x:c r="AH117" s="29" t="n">
        <x:f>1-(1-(IF($B117="gmA",$D117,IF($C117="gmA",$E117,'參數'!$C$25))+IF($B117="shock",$D117,IF($C117="shock",$E117,'參數'!$C$26))))*(1+IF($B117="inflation",$D117,IF($C117="inflation",$E117,'參數'!$C$27)))-AE117</x:f>
        <x:v>0.1833333333333333</x:v>
      </x:c>
      <x:c r="AI117" s="29" t="n">
        <x:f>IF(AB117=0,0,(Y117*AF117+Z117*AG117+AA117*AH117)/AB117)</x:f>
        <x:v>0.17933333333333332</x:v>
      </x:c>
      <x:c r="AJ117" s="28" t="n">
        <x:f>'參數'!$C$43</x:f>
        <x:v>1</x:v>
      </x:c>
      <x:c r="AK117" s="28" t="n">
        <x:f>MAX(0,(IF($B117="dso",$D117,IF($C117="dso",$E117,'參數'!$C$32))-(1-AI117)*IF($B117="dpo",$D117,IF($C117="dpo",$E117,'參數'!$C$33)))/365)</x:f>
        <x:v>0.11167123287671232</x:v>
      </x:c>
      <x:c r="AL117" s="28" t="n">
        <x:f>IF(AK117=0,AB117,(MAX(0,AJ117)+IF($B117="credit",$D117,IF($C117="credit",$E117,'參數'!$C$37)))/AK117)</x:f>
        <x:v>35.81943081452405</x:v>
      </x:c>
      <x:c r="AM117" s="28" t="n">
        <x:f>MIN(AB117,AC117,AL117)</x:f>
        <x:v>6</x:v>
      </x:c>
      <x:c r="AN117" s="28" t="n">
        <x:f>IF(AB117=0,0,AM117*Y117/AB117)</x:f>
        <x:v>2.4</x:v>
      </x:c>
      <x:c r="AO117" s="28" t="n">
        <x:f>IF(AB117=0,0,AM117*Z117/AB117)</x:f>
        <x:v>3.6</x:v>
      </x:c>
      <x:c r="AP117" s="28" t="n">
        <x:f>IF(AB117=0,0,AM117*AA117/AB117)</x:f>
        <x:v>0</x:v>
      </x:c>
      <x:c r="AQ117" s="28" t="n">
        <x:f>V117+L117-AN117</x:f>
        <x:v>1.6</x:v>
      </x:c>
      <x:c r="AR117" s="28" t="n">
        <x:f>W117+M117-AO117</x:f>
        <x:v>2.4</x:v>
      </x:c>
      <x:c r="AS117" s="28" t="n">
        <x:f>X117+N117-AP117</x:f>
        <x:v>10</x:v>
      </x:c>
      <x:c r="AT117" s="28" t="n">
        <x:f>AQ117+AR117+AS117</x:f>
        <x:v>14</x:v>
      </x:c>
      <x:c r="AU117" s="28" t="n">
        <x:f>AN117*(1-AF117)+AO117*(1-AG117)+AP117*(1-AH117)</x:f>
        <x:v>4.9239999999999995</x:v>
      </x:c>
      <x:c r="AV117" s="28" t="n">
        <x:f>AM117-AU117</x:f>
        <x:v>1.0760000000000005</x:v>
      </x:c>
      <x:c r="AW117" s="29" t="n">
        <x:f>IF(AM117=0,0,AV117/AM117)</x:f>
        <x:v>0.17933333333333343</x:v>
      </x:c>
      <x:c r="AX117" s="28" t="n">
        <x:f>IF($B117="head",$D117,IF($C117="head",$E117,'參數'!$C$29))*IF($B117="wage",$D117,IF($C117="wage",$E117,'參數'!$C$30))</x:f>
        <x:v>0.22</x:v>
      </x:c>
      <x:c r="AY117" s="28" t="n">
        <x:f>IF($B117="opex",$D117,IF($C117="opex",$E117,'參數'!$C$31))</x:f>
        <x:v>0.23</x:v>
      </x:c>
      <x:c r="AZ117" s="28" t="n">
        <x:f>AX117+AY117</x:f>
        <x:v>0.45</x:v>
      </x:c>
      <x:c r="BA117" s="28" t="n">
        <x:f>AV117-AZ117</x:f>
        <x:v>0.6260000000000006</x:v>
      </x:c>
      <x:c r="BB117" s="28" t="n">
        <x:f>AM117*AK117</x:f>
        <x:v>0.6700273972602739</x:v>
      </x:c>
      <x:c r="BC117" s="28" t="n">
        <x:f>0</x:f>
        <x:v>0</x:v>
      </x:c>
      <x:c r="BD117" s="28" t="n">
        <x:f>MAX(0,BB117-MAX(0,AJ117))</x:f>
        <x:v>0</x:v>
      </x:c>
      <x:c r="BE117" s="28" t="n">
        <x:f>(BC117+BD117)/2</x:f>
        <x:v>0</x:v>
      </x:c>
      <x:c r="BF117" s="28" t="n">
        <x:f>BE117*IF($B117="rate",$D117,IF($C117="rate",$E117,'參數'!$C$34))</x:f>
        <x:v>0</x:v>
      </x:c>
      <x:c r="BG117" s="28" t="n">
        <x:f>IF($B117="nonop",$D117,IF($C117="nonop",$E117,'參數'!$C$36))</x:f>
        <x:v>0.02</x:v>
      </x:c>
      <x:c r="BH117" s="28" t="n">
        <x:f>BA117+BG117-BF117</x:f>
        <x:v>0.6460000000000006</x:v>
      </x:c>
      <x:c r="BI117" s="28" t="n">
        <x:f>MAX(0,BH117)*IF($B117="tax",$D117,IF($C117="tax",$E117,'參數'!$C$35))</x:f>
        <x:v>0.12920000000000012</x:v>
      </x:c>
      <x:c r="BJ117" s="28" t="n">
        <x:f>BH117-BI117</x:f>
        <x:v>0.5168000000000005</x:v>
      </x:c>
      <x:c r="BK117" s="29" t="n">
        <x:f>IF(AM117=0,0,BJ117/AM117)</x:f>
        <x:v>0.08613333333333341</x:v>
      </x:c>
      <x:c r="BL117" s="28" t="n">
        <x:f>IF(BJ117&gt;=0,BJ117*IF($B117="retain",$D117,IF($C117="retain",$E117,'參數'!$C$38)),BJ117)</x:f>
        <x:v>0.25840000000000024</x:v>
      </x:c>
      <x:c r="BM117" s="28" t="n">
        <x:f>AJ117+BL117</x:f>
        <x:v>1.2584000000000002</x:v>
      </x:c>
      <x:c r="BN117" s="28" t="n">
        <x:f>MAX(0,AB117-AC117)</x:f>
        <x:v>4</x:v>
      </x:c>
      <x:c r="BO117" s="28" t="n">
        <x:f>MAX(0,MIN(AB117,AC117)-AM117)</x:f>
        <x:v>0</x:v>
      </x:c>
    </x:row>
    <x:row r="118" ht="24" customHeight="1">
      <x:c r="A118" s="2" t="str">
        <x:v>雙因子5/2</x:v>
      </x:c>
      <x:c r="B118" s="2" t="str">
        <x:v>capacity</x:v>
      </x:c>
      <x:c r="C118" s="2" t="str">
        <x:v>shock</x:v>
      </x:c>
      <x:c r="D118" s="11" t="n">
        <x:f>'雙因子敏感性'!C$6</x:f>
        <x:v>8</x:v>
      </x:c>
      <x:c r="E118" s="11" t="n">
        <x:f>'參數'!C26+'雙因子敏感性'!$A11</x:f>
        <x:v>0.03</x:v>
      </x:c>
      <x:c r="F118" s="11" t="n">
        <x:f>'參數'!$C$47</x:f>
        <x:v>0</x:v>
      </x:c>
      <x:c r="G118" s="11" t="n">
        <x:f>'參數'!$C$48</x:f>
        <x:v>0</x:v>
      </x:c>
      <x:c r="H118" s="11" t="n">
        <x:f>'參數'!$C$49</x:f>
        <x:v>0</x:v>
      </x:c>
      <x:c r="I118" s="11" t="n">
        <x:f>F118+IF($B118="pE",$D118,IF($C118="pE",$E118,'參數'!$C$5))*IF($B118="scale",$D118,IF($C118="scale",$E118,'參數'!$C$8))</x:f>
        <x:v>10</x:v>
      </x:c>
      <x:c r="J118" s="11" t="n">
        <x:f>G118+IF($B118="pM",$D118,IF($C118="pM",$E118,'參數'!$C$6))*IF($B118="scale",$D118,IF($C118="scale",$E118,'參數'!$C$8))</x:f>
        <x:v>15</x:v>
      </x:c>
      <x:c r="K118" s="11" t="n">
        <x:f>H118+IF($B118="pA",$D118,IF($C118="pA",$E118,'參數'!$C$7))*IF($B118="scale",$D118,IF($C118="scale",$E118,'參數'!$C$8))</x:f>
        <x:v>50</x:v>
      </x:c>
      <x:c r="L118" s="11" t="n">
        <x:f>I118*IF($B118="winE",$D118,IF($C118="winE",$E118,'參數'!$C$9))</x:f>
        <x:v>4</x:v>
      </x:c>
      <x:c r="M118" s="28" t="n">
        <x:f>J118*IF($B118="winM",$D118,IF($C118="winM",$E118,'參數'!$C$10))</x:f>
        <x:v>6</x:v>
      </x:c>
      <x:c r="N118" s="28" t="n">
        <x:f>MIN(K118,IF($B118="readyA",$D118,IF($C118="readyA",$E118,'參數'!$C$11))*IF($B118="gateA",$D118,IF($C118="gateA",$E118,'參數'!$C$12)))</x:f>
        <x:v>10</x:v>
      </x:c>
      <x:c r="O118" s="28" t="n">
        <x:f>L118+M118+N118</x:f>
        <x:v>20</x:v>
      </x:c>
      <x:c r="P118" s="28" t="n">
        <x:f>(I118-L118)*IF($B118="attrition",$D118,IF($C118="attrition",$E118,'參數'!$C$13))</x:f>
        <x:v>1.2000000000000002</x:v>
      </x:c>
      <x:c r="Q118" s="28" t="n">
        <x:f>(J118-M118)*IF($B118="attrition",$D118,IF($C118="attrition",$E118,'參數'!$C$13))</x:f>
        <x:v>1.8</x:v>
      </x:c>
      <x:c r="R118" s="28" t="n">
        <x:f>(K118-N118)*IF($B118="attrition",$D118,IF($C118="attrition",$E118,'參數'!$C$13))</x:f>
        <x:v>8</x:v>
      </x:c>
      <x:c r="S118" s="28" t="n">
        <x:f>I118-L118-P118</x:f>
        <x:v>4.8</x:v>
      </x:c>
      <x:c r="T118" s="28" t="n">
        <x:f>J118-M118-Q118</x:f>
        <x:v>7.2</x:v>
      </x:c>
      <x:c r="U118" s="28" t="n">
        <x:f>K118-N118-R118</x:f>
        <x:v>32</x:v>
      </x:c>
      <x:c r="V118" s="28" t="n">
        <x:f>'參數'!$C$44</x:f>
        <x:v>0</x:v>
      </x:c>
      <x:c r="W118" s="28" t="n">
        <x:f>'參數'!$C$45</x:f>
        <x:v>0</x:v>
      </x:c>
      <x:c r="X118" s="28" t="n">
        <x:f>'參數'!$C$46</x:f>
        <x:v>0</x:v>
      </x:c>
      <x:c r="Y118" s="28" t="n">
        <x:f>V118*IF($B118="relE",$D118,IF($C118="relE",$E118,'參數'!$C$17))+L118*IF($B118="nowE",$D118,IF($C118="nowE",$E118,'參數'!$C$14))</x:f>
        <x:v>4</x:v>
      </x:c>
      <x:c r="Z118" s="28" t="n">
        <x:f>W118*IF($B118="relM",$D118,IF($C118="relM",$E118,'參數'!$C$18))+M118*IF($B118="nowM",$D118,IF($C118="nowM",$E118,'參數'!$C$15))</x:f>
        <x:v>6</x:v>
      </x:c>
      <x:c r="AA118" s="28" t="n">
        <x:f>X118*IF($B118="relA",$D118,IF($C118="relA",$E118,'參數'!$C$19))+N118*IF($B118="nowA",$D118,IF($C118="nowA",$E118,'參數'!$C$16))</x:f>
        <x:v>0</x:v>
      </x:c>
      <x:c r="AB118" s="28" t="n">
        <x:f>Y118+Z118+AA118</x:f>
        <x:v>10</x:v>
      </x:c>
      <x:c r="AC118" s="28" t="n">
        <x:f>IF($B118="capacity",$D118,IF($C118="capacity",$E118,'參數'!$C$20))</x:f>
        <x:v>8</x:v>
      </x:c>
      <x:c r="AD118" s="28" t="n">
        <x:f>IF(AC118=0,0,AB118/AC118)</x:f>
        <x:v>1.25</x:v>
      </x:c>
      <x:c r="AE118" s="29" t="n">
        <x:f>MAX(0,AD118-1)*IF($B118="congestion",$D118,IF($C118="congestion",$E118,'參數'!$C$28))</x:f>
        <x:v>0.0025</x:v>
      </x:c>
      <x:c r="AF118" s="29" t="n">
        <x:f>1-(1-(IF($B118="gmE",$D118,IF($C118="gmE",$E118,'參數'!$C$21))+IF($B118="shock",$D118,IF($C118="shock",$E118,'參數'!$C$26))))*(1+IF($B118="inflation",$D118,IF($C118="inflation",$E118,'參數'!$C$27)))-AE118</x:f>
        <x:v>0.14750000000000002</x:v>
      </x:c>
      <x:c r="AG118" s="29" t="n">
        <x:f>1-(1-(IF($B118="gmM",$D118,IF($C118="gmM",$E118,'參數'!$C$22))+IF($B118="dev",$D118,IF($C118="dev",$E118,'參數'!$C$23))*IF($B118="devReal",$D118,IF($C118="devReal",$E118,'參數'!$C$24))+IF($B118="shock",$D118,IF($C118="shock",$E118,'參數'!$C$26))))*(1+IF($B118="inflation",$D118,IF($C118="inflation",$E118,'參數'!$C$27)))-AE118</x:f>
        <x:v>0.20749999999999996</x:v>
      </x:c>
      <x:c r="AH118" s="29" t="n">
        <x:f>1-(1-(IF($B118="gmA",$D118,IF($C118="gmA",$E118,'參數'!$C$25))+IF($B118="shock",$D118,IF($C118="shock",$E118,'參數'!$C$26))))*(1+IF($B118="inflation",$D118,IF($C118="inflation",$E118,'參數'!$C$27)))-AE118</x:f>
        <x:v>0.18749999999999994</x:v>
      </x:c>
      <x:c r="AI118" s="29" t="n">
        <x:f>IF(AB118=0,0,(Y118*AF118+Z118*AG118+AA118*AH118)/AB118)</x:f>
        <x:v>0.18349999999999997</x:v>
      </x:c>
      <x:c r="AJ118" s="28" t="n">
        <x:f>'參數'!$C$43</x:f>
        <x:v>1</x:v>
      </x:c>
      <x:c r="AK118" s="28" t="n">
        <x:f>MAX(0,(IF($B118="dso",$D118,IF($C118="dso",$E118,'參數'!$C$32))-(1-AI118)*IF($B118="dpo",$D118,IF($C118="dpo",$E118,'參數'!$C$33)))/365)</x:f>
        <x:v>0.11235616438356164</x:v>
      </x:c>
      <x:c r="AL118" s="28" t="n">
        <x:f>IF(AK118=0,AB118,(MAX(0,AJ118)+IF($B118="credit",$D118,IF($C118="credit",$E118,'參數'!$C$37)))/AK118)</x:f>
        <x:v>35.60107290904658</x:v>
      </x:c>
      <x:c r="AM118" s="28" t="n">
        <x:f>MIN(AB118,AC118,AL118)</x:f>
        <x:v>8</x:v>
      </x:c>
      <x:c r="AN118" s="28" t="n">
        <x:f>IF(AB118=0,0,AM118*Y118/AB118)</x:f>
        <x:v>3.2</x:v>
      </x:c>
      <x:c r="AO118" s="28" t="n">
        <x:f>IF(AB118=0,0,AM118*Z118/AB118)</x:f>
        <x:v>4.8</x:v>
      </x:c>
      <x:c r="AP118" s="28" t="n">
        <x:f>IF(AB118=0,0,AM118*AA118/AB118)</x:f>
        <x:v>0</x:v>
      </x:c>
      <x:c r="AQ118" s="28" t="n">
        <x:f>V118+L118-AN118</x:f>
        <x:v>0.7999999999999998</x:v>
      </x:c>
      <x:c r="AR118" s="28" t="n">
        <x:f>W118+M118-AO118</x:f>
        <x:v>1.2000000000000002</x:v>
      </x:c>
      <x:c r="AS118" s="28" t="n">
        <x:f>X118+N118-AP118</x:f>
        <x:v>10</x:v>
      </x:c>
      <x:c r="AT118" s="28" t="n">
        <x:f>AQ118+AR118+AS118</x:f>
        <x:v>12</x:v>
      </x:c>
      <x:c r="AU118" s="28" t="n">
        <x:f>AN118*(1-AF118)+AO118*(1-AG118)+AP118*(1-AH118)</x:f>
        <x:v>6.532</x:v>
      </x:c>
      <x:c r="AV118" s="28" t="n">
        <x:f>AM118-AU118</x:f>
        <x:v>1.468</x:v>
      </x:c>
      <x:c r="AW118" s="29" t="n">
        <x:f>IF(AM118=0,0,AV118/AM118)</x:f>
        <x:v>0.1835</x:v>
      </x:c>
      <x:c r="AX118" s="28" t="n">
        <x:f>IF($B118="head",$D118,IF($C118="head",$E118,'參數'!$C$29))*IF($B118="wage",$D118,IF($C118="wage",$E118,'參數'!$C$30))</x:f>
        <x:v>0.22</x:v>
      </x:c>
      <x:c r="AY118" s="28" t="n">
        <x:f>IF($B118="opex",$D118,IF($C118="opex",$E118,'參數'!$C$31))</x:f>
        <x:v>0.23</x:v>
      </x:c>
      <x:c r="AZ118" s="28" t="n">
        <x:f>AX118+AY118</x:f>
        <x:v>0.45</x:v>
      </x:c>
      <x:c r="BA118" s="28" t="n">
        <x:f>AV118-AZ118</x:f>
        <x:v>1.018</x:v>
      </x:c>
      <x:c r="BB118" s="28" t="n">
        <x:f>AM118*AK118</x:f>
        <x:v>0.8988493150684931</x:v>
      </x:c>
      <x:c r="BC118" s="28" t="n">
        <x:f>0</x:f>
        <x:v>0</x:v>
      </x:c>
      <x:c r="BD118" s="28" t="n">
        <x:f>MAX(0,BB118-MAX(0,AJ118))</x:f>
        <x:v>0</x:v>
      </x:c>
      <x:c r="BE118" s="28" t="n">
        <x:f>(BC118+BD118)/2</x:f>
        <x:v>0</x:v>
      </x:c>
      <x:c r="BF118" s="28" t="n">
        <x:f>BE118*IF($B118="rate",$D118,IF($C118="rate",$E118,'參數'!$C$34))</x:f>
        <x:v>0</x:v>
      </x:c>
      <x:c r="BG118" s="28" t="n">
        <x:f>IF($B118="nonop",$D118,IF($C118="nonop",$E118,'參數'!$C$36))</x:f>
        <x:v>0.02</x:v>
      </x:c>
      <x:c r="BH118" s="28" t="n">
        <x:f>BA118+BG118-BF118</x:f>
        <x:v>1.038</x:v>
      </x:c>
      <x:c r="BI118" s="28" t="n">
        <x:f>MAX(0,BH118)*IF($B118="tax",$D118,IF($C118="tax",$E118,'參數'!$C$35))</x:f>
        <x:v>0.2076</x:v>
      </x:c>
      <x:c r="BJ118" s="28" t="n">
        <x:f>BH118-BI118</x:f>
        <x:v>0.8304</x:v>
      </x:c>
      <x:c r="BK118" s="29" t="n">
        <x:f>IF(AM118=0,0,BJ118/AM118)</x:f>
        <x:v>0.1038</x:v>
      </x:c>
      <x:c r="BL118" s="28" t="n">
        <x:f>IF(BJ118&gt;=0,BJ118*IF($B118="retain",$D118,IF($C118="retain",$E118,'參數'!$C$38)),BJ118)</x:f>
        <x:v>0.4152</x:v>
      </x:c>
      <x:c r="BM118" s="28" t="n">
        <x:f>AJ118+BL118</x:f>
        <x:v>1.4152</x:v>
      </x:c>
      <x:c r="BN118" s="28" t="n">
        <x:f>MAX(0,AB118-AC118)</x:f>
        <x:v>2</x:v>
      </x:c>
      <x:c r="BO118" s="28" t="n">
        <x:f>MAX(0,MIN(AB118,AC118)-AM118)</x:f>
        <x:v>0</x:v>
      </x:c>
    </x:row>
    <x:row r="119" ht="24" customHeight="1">
      <x:c r="A119" s="2" t="str">
        <x:v>雙因子5/3</x:v>
      </x:c>
      <x:c r="B119" s="2" t="str">
        <x:v>capacity</x:v>
      </x:c>
      <x:c r="C119" s="2" t="str">
        <x:v>shock</x:v>
      </x:c>
      <x:c r="D119" s="11" t="n">
        <x:f>'雙因子敏感性'!D$6</x:f>
        <x:v>10</x:v>
      </x:c>
      <x:c r="E119" s="11" t="n">
        <x:f>'參數'!C26+'雙因子敏感性'!$A11</x:f>
        <x:v>0.03</x:v>
      </x:c>
      <x:c r="F119" s="11" t="n">
        <x:f>'參數'!$C$47</x:f>
        <x:v>0</x:v>
      </x:c>
      <x:c r="G119" s="11" t="n">
        <x:f>'參數'!$C$48</x:f>
        <x:v>0</x:v>
      </x:c>
      <x:c r="H119" s="11" t="n">
        <x:f>'參數'!$C$49</x:f>
        <x:v>0</x:v>
      </x:c>
      <x:c r="I119" s="11" t="n">
        <x:f>F119+IF($B119="pE",$D119,IF($C119="pE",$E119,'參數'!$C$5))*IF($B119="scale",$D119,IF($C119="scale",$E119,'參數'!$C$8))</x:f>
        <x:v>10</x:v>
      </x:c>
      <x:c r="J119" s="11" t="n">
        <x:f>G119+IF($B119="pM",$D119,IF($C119="pM",$E119,'參數'!$C$6))*IF($B119="scale",$D119,IF($C119="scale",$E119,'參數'!$C$8))</x:f>
        <x:v>15</x:v>
      </x:c>
      <x:c r="K119" s="11" t="n">
        <x:f>H119+IF($B119="pA",$D119,IF($C119="pA",$E119,'參數'!$C$7))*IF($B119="scale",$D119,IF($C119="scale",$E119,'參數'!$C$8))</x:f>
        <x:v>50</x:v>
      </x:c>
      <x:c r="L119" s="11" t="n">
        <x:f>I119*IF($B119="winE",$D119,IF($C119="winE",$E119,'參數'!$C$9))</x:f>
        <x:v>4</x:v>
      </x:c>
      <x:c r="M119" s="28" t="n">
        <x:f>J119*IF($B119="winM",$D119,IF($C119="winM",$E119,'參數'!$C$10))</x:f>
        <x:v>6</x:v>
      </x:c>
      <x:c r="N119" s="28" t="n">
        <x:f>MIN(K119,IF($B119="readyA",$D119,IF($C119="readyA",$E119,'參數'!$C$11))*IF($B119="gateA",$D119,IF($C119="gateA",$E119,'參數'!$C$12)))</x:f>
        <x:v>10</x:v>
      </x:c>
      <x:c r="O119" s="28" t="n">
        <x:f>L119+M119+N119</x:f>
        <x:v>20</x:v>
      </x:c>
      <x:c r="P119" s="28" t="n">
        <x:f>(I119-L119)*IF($B119="attrition",$D119,IF($C119="attrition",$E119,'參數'!$C$13))</x:f>
        <x:v>1.2000000000000002</x:v>
      </x:c>
      <x:c r="Q119" s="28" t="n">
        <x:f>(J119-M119)*IF($B119="attrition",$D119,IF($C119="attrition",$E119,'參數'!$C$13))</x:f>
        <x:v>1.8</x:v>
      </x:c>
      <x:c r="R119" s="28" t="n">
        <x:f>(K119-N119)*IF($B119="attrition",$D119,IF($C119="attrition",$E119,'參數'!$C$13))</x:f>
        <x:v>8</x:v>
      </x:c>
      <x:c r="S119" s="28" t="n">
        <x:f>I119-L119-P119</x:f>
        <x:v>4.8</x:v>
      </x:c>
      <x:c r="T119" s="28" t="n">
        <x:f>J119-M119-Q119</x:f>
        <x:v>7.2</x:v>
      </x:c>
      <x:c r="U119" s="28" t="n">
        <x:f>K119-N119-R119</x:f>
        <x:v>32</x:v>
      </x:c>
      <x:c r="V119" s="28" t="n">
        <x:f>'參數'!$C$44</x:f>
        <x:v>0</x:v>
      </x:c>
      <x:c r="W119" s="28" t="n">
        <x:f>'參數'!$C$45</x:f>
        <x:v>0</x:v>
      </x:c>
      <x:c r="X119" s="28" t="n">
        <x:f>'參數'!$C$46</x:f>
        <x:v>0</x:v>
      </x:c>
      <x:c r="Y119" s="28" t="n">
        <x:f>V119*IF($B119="relE",$D119,IF($C119="relE",$E119,'參數'!$C$17))+L119*IF($B119="nowE",$D119,IF($C119="nowE",$E119,'參數'!$C$14))</x:f>
        <x:v>4</x:v>
      </x:c>
      <x:c r="Z119" s="28" t="n">
        <x:f>W119*IF($B119="relM",$D119,IF($C119="relM",$E119,'參數'!$C$18))+M119*IF($B119="nowM",$D119,IF($C119="nowM",$E119,'參數'!$C$15))</x:f>
        <x:v>6</x:v>
      </x:c>
      <x:c r="AA119" s="28" t="n">
        <x:f>X119*IF($B119="relA",$D119,IF($C119="relA",$E119,'參數'!$C$19))+N119*IF($B119="nowA",$D119,IF($C119="nowA",$E119,'參數'!$C$16))</x:f>
        <x:v>0</x:v>
      </x:c>
      <x:c r="AB119" s="28" t="n">
        <x:f>Y119+Z119+AA119</x:f>
        <x:v>10</x:v>
      </x:c>
      <x:c r="AC119" s="28" t="n">
        <x:f>IF($B119="capacity",$D119,IF($C119="capacity",$E119,'參數'!$C$20))</x:f>
        <x:v>10</x:v>
      </x:c>
      <x:c r="AD119" s="28" t="n">
        <x:f>IF(AC119=0,0,AB119/AC119)</x:f>
        <x:v>1</x:v>
      </x:c>
      <x:c r="AE119" s="29" t="n">
        <x:f>MAX(0,AD119-1)*IF($B119="congestion",$D119,IF($C119="congestion",$E119,'參數'!$C$28))</x:f>
        <x:v>0</x:v>
      </x:c>
      <x:c r="AF119" s="29" t="n">
        <x:f>1-(1-(IF($B119="gmE",$D119,IF($C119="gmE",$E119,'參數'!$C$21))+IF($B119="shock",$D119,IF($C119="shock",$E119,'參數'!$C$26))))*(1+IF($B119="inflation",$D119,IF($C119="inflation",$E119,'參數'!$C$27)))-AE119</x:f>
        <x:v>0.15000000000000002</x:v>
      </x:c>
      <x:c r="AG119" s="29" t="n">
        <x:f>1-(1-(IF($B119="gmM",$D119,IF($C119="gmM",$E119,'參數'!$C$22))+IF($B119="dev",$D119,IF($C119="dev",$E119,'參數'!$C$23))*IF($B119="devReal",$D119,IF($C119="devReal",$E119,'參數'!$C$24))+IF($B119="shock",$D119,IF($C119="shock",$E119,'參數'!$C$26))))*(1+IF($B119="inflation",$D119,IF($C119="inflation",$E119,'參數'!$C$27)))-AE119</x:f>
        <x:v>0.20999999999999996</x:v>
      </x:c>
      <x:c r="AH119" s="29" t="n">
        <x:f>1-(1-(IF($B119="gmA",$D119,IF($C119="gmA",$E119,'參數'!$C$25))+IF($B119="shock",$D119,IF($C119="shock",$E119,'參數'!$C$26))))*(1+IF($B119="inflation",$D119,IF($C119="inflation",$E119,'參數'!$C$27)))-AE119</x:f>
        <x:v>0.18999999999999995</x:v>
      </x:c>
      <x:c r="AI119" s="29" t="n">
        <x:f>IF(AB119=0,0,(Y119*AF119+Z119*AG119+AA119*AH119)/AB119)</x:f>
        <x:v>0.186</x:v>
      </x:c>
      <x:c r="AJ119" s="28" t="n">
        <x:f>'參數'!$C$43</x:f>
        <x:v>1</x:v>
      </x:c>
      <x:c r="AK119" s="28" t="n">
        <x:f>MAX(0,(IF($B119="dso",$D119,IF($C119="dso",$E119,'參數'!$C$32))-(1-AI119)*IF($B119="dpo",$D119,IF($C119="dpo",$E119,'參數'!$C$33)))/365)</x:f>
        <x:v>0.11276712328767122</x:v>
      </x:c>
      <x:c r="AL119" s="28" t="n">
        <x:f>IF(AK119=0,AB119,(MAX(0,AJ119)+IF($B119="credit",$D119,IF($C119="credit",$E119,'參數'!$C$37)))/AK119)</x:f>
        <x:v>35.47133138969874</x:v>
      </x:c>
      <x:c r="AM119" s="28" t="n">
        <x:f>MIN(AB119,AC119,AL119)</x:f>
        <x:v>10</x:v>
      </x:c>
      <x:c r="AN119" s="28" t="n">
        <x:f>IF(AB119=0,0,AM119*Y119/AB119)</x:f>
        <x:v>4</x:v>
      </x:c>
      <x:c r="AO119" s="28" t="n">
        <x:f>IF(AB119=0,0,AM119*Z119/AB119)</x:f>
        <x:v>6</x:v>
      </x:c>
      <x:c r="AP119" s="28" t="n">
        <x:f>IF(AB119=0,0,AM119*AA119/AB119)</x:f>
        <x:v>0</x:v>
      </x:c>
      <x:c r="AQ119" s="28" t="n">
        <x:f>V119+L119-AN119</x:f>
        <x:v>0</x:v>
      </x:c>
      <x:c r="AR119" s="28" t="n">
        <x:f>W119+M119-AO119</x:f>
        <x:v>0</x:v>
      </x:c>
      <x:c r="AS119" s="28" t="n">
        <x:f>X119+N119-AP119</x:f>
        <x:v>10</x:v>
      </x:c>
      <x:c r="AT119" s="28" t="n">
        <x:f>AQ119+AR119+AS119</x:f>
        <x:v>10</x:v>
      </x:c>
      <x:c r="AU119" s="28" t="n">
        <x:f>AN119*(1-AF119)+AO119*(1-AG119)+AP119*(1-AH119)</x:f>
        <x:v>8.14</x:v>
      </x:c>
      <x:c r="AV119" s="28" t="n">
        <x:f>AM119-AU119</x:f>
        <x:v>1.8599999999999994</x:v>
      </x:c>
      <x:c r="AW119" s="29" t="n">
        <x:f>IF(AM119=0,0,AV119/AM119)</x:f>
        <x:v>0.18599999999999994</x:v>
      </x:c>
      <x:c r="AX119" s="28" t="n">
        <x:f>IF($B119="head",$D119,IF($C119="head",$E119,'參數'!$C$29))*IF($B119="wage",$D119,IF($C119="wage",$E119,'參數'!$C$30))</x:f>
        <x:v>0.22</x:v>
      </x:c>
      <x:c r="AY119" s="28" t="n">
        <x:f>IF($B119="opex",$D119,IF($C119="opex",$E119,'參數'!$C$31))</x:f>
        <x:v>0.23</x:v>
      </x:c>
      <x:c r="AZ119" s="28" t="n">
        <x:f>AX119+AY119</x:f>
        <x:v>0.45</x:v>
      </x:c>
      <x:c r="BA119" s="28" t="n">
        <x:f>AV119-AZ119</x:f>
        <x:v>1.4099999999999995</x:v>
      </x:c>
      <x:c r="BB119" s="28" t="n">
        <x:f>AM119*AK119</x:f>
        <x:v>1.1276712328767122</x:v>
      </x:c>
      <x:c r="BC119" s="28" t="n">
        <x:f>0</x:f>
        <x:v>0</x:v>
      </x:c>
      <x:c r="BD119" s="28" t="n">
        <x:f>MAX(0,BB119-MAX(0,AJ119))</x:f>
        <x:v>0.12767123287671223</x:v>
      </x:c>
      <x:c r="BE119" s="28" t="n">
        <x:f>(BC119+BD119)/2</x:f>
        <x:v>0.06383561643835611</x:v>
      </x:c>
      <x:c r="BF119" s="28" t="n">
        <x:f>BE119*IF($B119="rate",$D119,IF($C119="rate",$E119,'參數'!$C$34))</x:f>
        <x:v>0.0025534246575342444</x:v>
      </x:c>
      <x:c r="BG119" s="28" t="n">
        <x:f>IF($B119="nonop",$D119,IF($C119="nonop",$E119,'參數'!$C$36))</x:f>
        <x:v>0.02</x:v>
      </x:c>
      <x:c r="BH119" s="28" t="n">
        <x:f>BA119+BG119-BF119</x:f>
        <x:v>1.4274465753424652</x:v>
      </x:c>
      <x:c r="BI119" s="28" t="n">
        <x:f>MAX(0,BH119)*IF($B119="tax",$D119,IF($C119="tax",$E119,'參數'!$C$35))</x:f>
        <x:v>0.28548931506849307</x:v>
      </x:c>
      <x:c r="BJ119" s="28" t="n">
        <x:f>BH119-BI119</x:f>
        <x:v>1.1419572602739723</x:v>
      </x:c>
      <x:c r="BK119" s="29" t="n">
        <x:f>IF(AM119=0,0,BJ119/AM119)</x:f>
        <x:v>0.11419572602739722</x:v>
      </x:c>
      <x:c r="BL119" s="28" t="n">
        <x:f>IF(BJ119&gt;=0,BJ119*IF($B119="retain",$D119,IF($C119="retain",$E119,'參數'!$C$38)),BJ119)</x:f>
        <x:v>0.5709786301369861</x:v>
      </x:c>
      <x:c r="BM119" s="28" t="n">
        <x:f>AJ119+BL119</x:f>
        <x:v>1.5709786301369861</x:v>
      </x:c>
      <x:c r="BN119" s="28" t="n">
        <x:f>MAX(0,AB119-AC119)</x:f>
        <x:v>0</x:v>
      </x:c>
      <x:c r="BO119" s="28" t="n">
        <x:f>MAX(0,MIN(AB119,AC119)-AM119)</x:f>
        <x:v>0</x:v>
      </x:c>
    </x:row>
    <x:row r="120" ht="24" customHeight="1">
      <x:c r="A120" s="2" t="str">
        <x:v>雙因子5/4</x:v>
      </x:c>
      <x:c r="B120" s="2" t="str">
        <x:v>capacity</x:v>
      </x:c>
      <x:c r="C120" s="2" t="str">
        <x:v>shock</x:v>
      </x:c>
      <x:c r="D120" s="11" t="n">
        <x:f>'雙因子敏感性'!E$6</x:f>
        <x:v>12</x:v>
      </x:c>
      <x:c r="E120" s="11" t="n">
        <x:f>'參數'!C26+'雙因子敏感性'!$A11</x:f>
        <x:v>0.03</x:v>
      </x:c>
      <x:c r="F120" s="11" t="n">
        <x:f>'參數'!$C$47</x:f>
        <x:v>0</x:v>
      </x:c>
      <x:c r="G120" s="11" t="n">
        <x:f>'參數'!$C$48</x:f>
        <x:v>0</x:v>
      </x:c>
      <x:c r="H120" s="11" t="n">
        <x:f>'參數'!$C$49</x:f>
        <x:v>0</x:v>
      </x:c>
      <x:c r="I120" s="11" t="n">
        <x:f>F120+IF($B120="pE",$D120,IF($C120="pE",$E120,'參數'!$C$5))*IF($B120="scale",$D120,IF($C120="scale",$E120,'參數'!$C$8))</x:f>
        <x:v>10</x:v>
      </x:c>
      <x:c r="J120" s="11" t="n">
        <x:f>G120+IF($B120="pM",$D120,IF($C120="pM",$E120,'參數'!$C$6))*IF($B120="scale",$D120,IF($C120="scale",$E120,'參數'!$C$8))</x:f>
        <x:v>15</x:v>
      </x:c>
      <x:c r="K120" s="11" t="n">
        <x:f>H120+IF($B120="pA",$D120,IF($C120="pA",$E120,'參數'!$C$7))*IF($B120="scale",$D120,IF($C120="scale",$E120,'參數'!$C$8))</x:f>
        <x:v>50</x:v>
      </x:c>
      <x:c r="L120" s="11" t="n">
        <x:f>I120*IF($B120="winE",$D120,IF($C120="winE",$E120,'參數'!$C$9))</x:f>
        <x:v>4</x:v>
      </x:c>
      <x:c r="M120" s="28" t="n">
        <x:f>J120*IF($B120="winM",$D120,IF($C120="winM",$E120,'參數'!$C$10))</x:f>
        <x:v>6</x:v>
      </x:c>
      <x:c r="N120" s="28" t="n">
        <x:f>MIN(K120,IF($B120="readyA",$D120,IF($C120="readyA",$E120,'參數'!$C$11))*IF($B120="gateA",$D120,IF($C120="gateA",$E120,'參數'!$C$12)))</x:f>
        <x:v>10</x:v>
      </x:c>
      <x:c r="O120" s="28" t="n">
        <x:f>L120+M120+N120</x:f>
        <x:v>20</x:v>
      </x:c>
      <x:c r="P120" s="28" t="n">
        <x:f>(I120-L120)*IF($B120="attrition",$D120,IF($C120="attrition",$E120,'參數'!$C$13))</x:f>
        <x:v>1.2000000000000002</x:v>
      </x:c>
      <x:c r="Q120" s="28" t="n">
        <x:f>(J120-M120)*IF($B120="attrition",$D120,IF($C120="attrition",$E120,'參數'!$C$13))</x:f>
        <x:v>1.8</x:v>
      </x:c>
      <x:c r="R120" s="28" t="n">
        <x:f>(K120-N120)*IF($B120="attrition",$D120,IF($C120="attrition",$E120,'參數'!$C$13))</x:f>
        <x:v>8</x:v>
      </x:c>
      <x:c r="S120" s="28" t="n">
        <x:f>I120-L120-P120</x:f>
        <x:v>4.8</x:v>
      </x:c>
      <x:c r="T120" s="28" t="n">
        <x:f>J120-M120-Q120</x:f>
        <x:v>7.2</x:v>
      </x:c>
      <x:c r="U120" s="28" t="n">
        <x:f>K120-N120-R120</x:f>
        <x:v>32</x:v>
      </x:c>
      <x:c r="V120" s="28" t="n">
        <x:f>'參數'!$C$44</x:f>
        <x:v>0</x:v>
      </x:c>
      <x:c r="W120" s="28" t="n">
        <x:f>'參數'!$C$45</x:f>
        <x:v>0</x:v>
      </x:c>
      <x:c r="X120" s="28" t="n">
        <x:f>'參數'!$C$46</x:f>
        <x:v>0</x:v>
      </x:c>
      <x:c r="Y120" s="28" t="n">
        <x:f>V120*IF($B120="relE",$D120,IF($C120="relE",$E120,'參數'!$C$17))+L120*IF($B120="nowE",$D120,IF($C120="nowE",$E120,'參數'!$C$14))</x:f>
        <x:v>4</x:v>
      </x:c>
      <x:c r="Z120" s="28" t="n">
        <x:f>W120*IF($B120="relM",$D120,IF($C120="relM",$E120,'參數'!$C$18))+M120*IF($B120="nowM",$D120,IF($C120="nowM",$E120,'參數'!$C$15))</x:f>
        <x:v>6</x:v>
      </x:c>
      <x:c r="AA120" s="28" t="n">
        <x:f>X120*IF($B120="relA",$D120,IF($C120="relA",$E120,'參數'!$C$19))+N120*IF($B120="nowA",$D120,IF($C120="nowA",$E120,'參數'!$C$16))</x:f>
        <x:v>0</x:v>
      </x:c>
      <x:c r="AB120" s="28" t="n">
        <x:f>Y120+Z120+AA120</x:f>
        <x:v>10</x:v>
      </x:c>
      <x:c r="AC120" s="28" t="n">
        <x:f>IF($B120="capacity",$D120,IF($C120="capacity",$E120,'參數'!$C$20))</x:f>
        <x:v>12</x:v>
      </x:c>
      <x:c r="AD120" s="28" t="n">
        <x:f>IF(AC120=0,0,AB120/AC120)</x:f>
        <x:v>0.8333333333333334</x:v>
      </x:c>
      <x:c r="AE120" s="29" t="n">
        <x:f>MAX(0,AD120-1)*IF($B120="congestion",$D120,IF($C120="congestion",$E120,'參數'!$C$28))</x:f>
        <x:v>0</x:v>
      </x:c>
      <x:c r="AF120" s="29" t="n">
        <x:f>1-(1-(IF($B120="gmE",$D120,IF($C120="gmE",$E120,'參數'!$C$21))+IF($B120="shock",$D120,IF($C120="shock",$E120,'參數'!$C$26))))*(1+IF($B120="inflation",$D120,IF($C120="inflation",$E120,'參數'!$C$27)))-AE120</x:f>
        <x:v>0.15000000000000002</x:v>
      </x:c>
      <x:c r="AG120" s="29" t="n">
        <x:f>1-(1-(IF($B120="gmM",$D120,IF($C120="gmM",$E120,'參數'!$C$22))+IF($B120="dev",$D120,IF($C120="dev",$E120,'參數'!$C$23))*IF($B120="devReal",$D120,IF($C120="devReal",$E120,'參數'!$C$24))+IF($B120="shock",$D120,IF($C120="shock",$E120,'參數'!$C$26))))*(1+IF($B120="inflation",$D120,IF($C120="inflation",$E120,'參數'!$C$27)))-AE120</x:f>
        <x:v>0.20999999999999996</x:v>
      </x:c>
      <x:c r="AH120" s="29" t="n">
        <x:f>1-(1-(IF($B120="gmA",$D120,IF($C120="gmA",$E120,'參數'!$C$25))+IF($B120="shock",$D120,IF($C120="shock",$E120,'參數'!$C$26))))*(1+IF($B120="inflation",$D120,IF($C120="inflation",$E120,'參數'!$C$27)))-AE120</x:f>
        <x:v>0.18999999999999995</x:v>
      </x:c>
      <x:c r="AI120" s="29" t="n">
        <x:f>IF(AB120=0,0,(Y120*AF120+Z120*AG120+AA120*AH120)/AB120)</x:f>
        <x:v>0.186</x:v>
      </x:c>
      <x:c r="AJ120" s="28" t="n">
        <x:f>'參數'!$C$43</x:f>
        <x:v>1</x:v>
      </x:c>
      <x:c r="AK120" s="28" t="n">
        <x:f>MAX(0,(IF($B120="dso",$D120,IF($C120="dso",$E120,'參數'!$C$32))-(1-AI120)*IF($B120="dpo",$D120,IF($C120="dpo",$E120,'參數'!$C$33)))/365)</x:f>
        <x:v>0.11276712328767122</x:v>
      </x:c>
      <x:c r="AL120" s="28" t="n">
        <x:f>IF(AK120=0,AB120,(MAX(0,AJ120)+IF($B120="credit",$D120,IF($C120="credit",$E120,'參數'!$C$37)))/AK120)</x:f>
        <x:v>35.47133138969874</x:v>
      </x:c>
      <x:c r="AM120" s="28" t="n">
        <x:f>MIN(AB120,AC120,AL120)</x:f>
        <x:v>10</x:v>
      </x:c>
      <x:c r="AN120" s="28" t="n">
        <x:f>IF(AB120=0,0,AM120*Y120/AB120)</x:f>
        <x:v>4</x:v>
      </x:c>
      <x:c r="AO120" s="28" t="n">
        <x:f>IF(AB120=0,0,AM120*Z120/AB120)</x:f>
        <x:v>6</x:v>
      </x:c>
      <x:c r="AP120" s="28" t="n">
        <x:f>IF(AB120=0,0,AM120*AA120/AB120)</x:f>
        <x:v>0</x:v>
      </x:c>
      <x:c r="AQ120" s="28" t="n">
        <x:f>V120+L120-AN120</x:f>
        <x:v>0</x:v>
      </x:c>
      <x:c r="AR120" s="28" t="n">
        <x:f>W120+M120-AO120</x:f>
        <x:v>0</x:v>
      </x:c>
      <x:c r="AS120" s="28" t="n">
        <x:f>X120+N120-AP120</x:f>
        <x:v>10</x:v>
      </x:c>
      <x:c r="AT120" s="28" t="n">
        <x:f>AQ120+AR120+AS120</x:f>
        <x:v>10</x:v>
      </x:c>
      <x:c r="AU120" s="28" t="n">
        <x:f>AN120*(1-AF120)+AO120*(1-AG120)+AP120*(1-AH120)</x:f>
        <x:v>8.14</x:v>
      </x:c>
      <x:c r="AV120" s="28" t="n">
        <x:f>AM120-AU120</x:f>
        <x:v>1.8599999999999994</x:v>
      </x:c>
      <x:c r="AW120" s="29" t="n">
        <x:f>IF(AM120=0,0,AV120/AM120)</x:f>
        <x:v>0.18599999999999994</x:v>
      </x:c>
      <x:c r="AX120" s="28" t="n">
        <x:f>IF($B120="head",$D120,IF($C120="head",$E120,'參數'!$C$29))*IF($B120="wage",$D120,IF($C120="wage",$E120,'參數'!$C$30))</x:f>
        <x:v>0.22</x:v>
      </x:c>
      <x:c r="AY120" s="28" t="n">
        <x:f>IF($B120="opex",$D120,IF($C120="opex",$E120,'參數'!$C$31))</x:f>
        <x:v>0.23</x:v>
      </x:c>
      <x:c r="AZ120" s="28" t="n">
        <x:f>AX120+AY120</x:f>
        <x:v>0.45</x:v>
      </x:c>
      <x:c r="BA120" s="28" t="n">
        <x:f>AV120-AZ120</x:f>
        <x:v>1.4099999999999995</x:v>
      </x:c>
      <x:c r="BB120" s="28" t="n">
        <x:f>AM120*AK120</x:f>
        <x:v>1.1276712328767122</x:v>
      </x:c>
      <x:c r="BC120" s="28" t="n">
        <x:f>0</x:f>
        <x:v>0</x:v>
      </x:c>
      <x:c r="BD120" s="28" t="n">
        <x:f>MAX(0,BB120-MAX(0,AJ120))</x:f>
        <x:v>0.12767123287671223</x:v>
      </x:c>
      <x:c r="BE120" s="28" t="n">
        <x:f>(BC120+BD120)/2</x:f>
        <x:v>0.06383561643835611</x:v>
      </x:c>
      <x:c r="BF120" s="28" t="n">
        <x:f>BE120*IF($B120="rate",$D120,IF($C120="rate",$E120,'參數'!$C$34))</x:f>
        <x:v>0.0025534246575342444</x:v>
      </x:c>
      <x:c r="BG120" s="28" t="n">
        <x:f>IF($B120="nonop",$D120,IF($C120="nonop",$E120,'參數'!$C$36))</x:f>
        <x:v>0.02</x:v>
      </x:c>
      <x:c r="BH120" s="28" t="n">
        <x:f>BA120+BG120-BF120</x:f>
        <x:v>1.4274465753424652</x:v>
      </x:c>
      <x:c r="BI120" s="28" t="n">
        <x:f>MAX(0,BH120)*IF($B120="tax",$D120,IF($C120="tax",$E120,'參數'!$C$35))</x:f>
        <x:v>0.28548931506849307</x:v>
      </x:c>
      <x:c r="BJ120" s="28" t="n">
        <x:f>BH120-BI120</x:f>
        <x:v>1.1419572602739723</x:v>
      </x:c>
      <x:c r="BK120" s="29" t="n">
        <x:f>IF(AM120=0,0,BJ120/AM120)</x:f>
        <x:v>0.11419572602739722</x:v>
      </x:c>
      <x:c r="BL120" s="28" t="n">
        <x:f>IF(BJ120&gt;=0,BJ120*IF($B120="retain",$D120,IF($C120="retain",$E120,'參數'!$C$38)),BJ120)</x:f>
        <x:v>0.5709786301369861</x:v>
      </x:c>
      <x:c r="BM120" s="28" t="n">
        <x:f>AJ120+BL120</x:f>
        <x:v>1.5709786301369861</x:v>
      </x:c>
      <x:c r="BN120" s="28" t="n">
        <x:f>MAX(0,AB120-AC120)</x:f>
        <x:v>0</x:v>
      </x:c>
      <x:c r="BO120" s="28" t="n">
        <x:f>MAX(0,MIN(AB120,AC120)-AM120)</x:f>
        <x:v>0</x:v>
      </x:c>
    </x:row>
    <x:row r="121" ht="24" customHeight="1">
      <x:c r="A121" s="2" t="str">
        <x:v>雙因子5/5</x:v>
      </x:c>
      <x:c r="B121" s="2" t="str">
        <x:v>capacity</x:v>
      </x:c>
      <x:c r="C121" s="2" t="str">
        <x:v>shock</x:v>
      </x:c>
      <x:c r="D121" s="11" t="n">
        <x:f>'雙因子敏感性'!F$6</x:f>
        <x:v>14</x:v>
      </x:c>
      <x:c r="E121" s="11" t="n">
        <x:f>'參數'!C26+'雙因子敏感性'!$A11</x:f>
        <x:v>0.03</x:v>
      </x:c>
      <x:c r="F121" s="11" t="n">
        <x:f>'參數'!$C$47</x:f>
        <x:v>0</x:v>
      </x:c>
      <x:c r="G121" s="11" t="n">
        <x:f>'參數'!$C$48</x:f>
        <x:v>0</x:v>
      </x:c>
      <x:c r="H121" s="11" t="n">
        <x:f>'參數'!$C$49</x:f>
        <x:v>0</x:v>
      </x:c>
      <x:c r="I121" s="11" t="n">
        <x:f>F121+IF($B121="pE",$D121,IF($C121="pE",$E121,'參數'!$C$5))*IF($B121="scale",$D121,IF($C121="scale",$E121,'參數'!$C$8))</x:f>
        <x:v>10</x:v>
      </x:c>
      <x:c r="J121" s="11" t="n">
        <x:f>G121+IF($B121="pM",$D121,IF($C121="pM",$E121,'參數'!$C$6))*IF($B121="scale",$D121,IF($C121="scale",$E121,'參數'!$C$8))</x:f>
        <x:v>15</x:v>
      </x:c>
      <x:c r="K121" s="11" t="n">
        <x:f>H121+IF($B121="pA",$D121,IF($C121="pA",$E121,'參數'!$C$7))*IF($B121="scale",$D121,IF($C121="scale",$E121,'參數'!$C$8))</x:f>
        <x:v>50</x:v>
      </x:c>
      <x:c r="L121" s="11" t="n">
        <x:f>I121*IF($B121="winE",$D121,IF($C121="winE",$E121,'參數'!$C$9))</x:f>
        <x:v>4</x:v>
      </x:c>
      <x:c r="M121" s="28" t="n">
        <x:f>J121*IF($B121="winM",$D121,IF($C121="winM",$E121,'參數'!$C$10))</x:f>
        <x:v>6</x:v>
      </x:c>
      <x:c r="N121" s="28" t="n">
        <x:f>MIN(K121,IF($B121="readyA",$D121,IF($C121="readyA",$E121,'參數'!$C$11))*IF($B121="gateA",$D121,IF($C121="gateA",$E121,'參數'!$C$12)))</x:f>
        <x:v>10</x:v>
      </x:c>
      <x:c r="O121" s="28" t="n">
        <x:f>L121+M121+N121</x:f>
        <x:v>20</x:v>
      </x:c>
      <x:c r="P121" s="28" t="n">
        <x:f>(I121-L121)*IF($B121="attrition",$D121,IF($C121="attrition",$E121,'參數'!$C$13))</x:f>
        <x:v>1.2000000000000002</x:v>
      </x:c>
      <x:c r="Q121" s="28" t="n">
        <x:f>(J121-M121)*IF($B121="attrition",$D121,IF($C121="attrition",$E121,'參數'!$C$13))</x:f>
        <x:v>1.8</x:v>
      </x:c>
      <x:c r="R121" s="28" t="n">
        <x:f>(K121-N121)*IF($B121="attrition",$D121,IF($C121="attrition",$E121,'參數'!$C$13))</x:f>
        <x:v>8</x:v>
      </x:c>
      <x:c r="S121" s="28" t="n">
        <x:f>I121-L121-P121</x:f>
        <x:v>4.8</x:v>
      </x:c>
      <x:c r="T121" s="28" t="n">
        <x:f>J121-M121-Q121</x:f>
        <x:v>7.2</x:v>
      </x:c>
      <x:c r="U121" s="28" t="n">
        <x:f>K121-N121-R121</x:f>
        <x:v>32</x:v>
      </x:c>
      <x:c r="V121" s="28" t="n">
        <x:f>'參數'!$C$44</x:f>
        <x:v>0</x:v>
      </x:c>
      <x:c r="W121" s="28" t="n">
        <x:f>'參數'!$C$45</x:f>
        <x:v>0</x:v>
      </x:c>
      <x:c r="X121" s="28" t="n">
        <x:f>'參數'!$C$46</x:f>
        <x:v>0</x:v>
      </x:c>
      <x:c r="Y121" s="28" t="n">
        <x:f>V121*IF($B121="relE",$D121,IF($C121="relE",$E121,'參數'!$C$17))+L121*IF($B121="nowE",$D121,IF($C121="nowE",$E121,'參數'!$C$14))</x:f>
        <x:v>4</x:v>
      </x:c>
      <x:c r="Z121" s="28" t="n">
        <x:f>W121*IF($B121="relM",$D121,IF($C121="relM",$E121,'參數'!$C$18))+M121*IF($B121="nowM",$D121,IF($C121="nowM",$E121,'參數'!$C$15))</x:f>
        <x:v>6</x:v>
      </x:c>
      <x:c r="AA121" s="28" t="n">
        <x:f>X121*IF($B121="relA",$D121,IF($C121="relA",$E121,'參數'!$C$19))+N121*IF($B121="nowA",$D121,IF($C121="nowA",$E121,'參數'!$C$16))</x:f>
        <x:v>0</x:v>
      </x:c>
      <x:c r="AB121" s="28" t="n">
        <x:f>Y121+Z121+AA121</x:f>
        <x:v>10</x:v>
      </x:c>
      <x:c r="AC121" s="28" t="n">
        <x:f>IF($B121="capacity",$D121,IF($C121="capacity",$E121,'參數'!$C$20))</x:f>
        <x:v>14</x:v>
      </x:c>
      <x:c r="AD121" s="28" t="n">
        <x:f>IF(AC121=0,0,AB121/AC121)</x:f>
        <x:v>0.7142857142857143</x:v>
      </x:c>
      <x:c r="AE121" s="29" t="n">
        <x:f>MAX(0,AD121-1)*IF($B121="congestion",$D121,IF($C121="congestion",$E121,'參數'!$C$28))</x:f>
        <x:v>0</x:v>
      </x:c>
      <x:c r="AF121" s="29" t="n">
        <x:f>1-(1-(IF($B121="gmE",$D121,IF($C121="gmE",$E121,'參數'!$C$21))+IF($B121="shock",$D121,IF($C121="shock",$E121,'參數'!$C$26))))*(1+IF($B121="inflation",$D121,IF($C121="inflation",$E121,'參數'!$C$27)))-AE121</x:f>
        <x:v>0.15000000000000002</x:v>
      </x:c>
      <x:c r="AG121" s="29" t="n">
        <x:f>1-(1-(IF($B121="gmM",$D121,IF($C121="gmM",$E121,'參數'!$C$22))+IF($B121="dev",$D121,IF($C121="dev",$E121,'參數'!$C$23))*IF($B121="devReal",$D121,IF($C121="devReal",$E121,'參數'!$C$24))+IF($B121="shock",$D121,IF($C121="shock",$E121,'參數'!$C$26))))*(1+IF($B121="inflation",$D121,IF($C121="inflation",$E121,'參數'!$C$27)))-AE121</x:f>
        <x:v>0.20999999999999996</x:v>
      </x:c>
      <x:c r="AH121" s="29" t="n">
        <x:f>1-(1-(IF($B121="gmA",$D121,IF($C121="gmA",$E121,'參數'!$C$25))+IF($B121="shock",$D121,IF($C121="shock",$E121,'參數'!$C$26))))*(1+IF($B121="inflation",$D121,IF($C121="inflation",$E121,'參數'!$C$27)))-AE121</x:f>
        <x:v>0.18999999999999995</x:v>
      </x:c>
      <x:c r="AI121" s="29" t="n">
        <x:f>IF(AB121=0,0,(Y121*AF121+Z121*AG121+AA121*AH121)/AB121)</x:f>
        <x:v>0.186</x:v>
      </x:c>
      <x:c r="AJ121" s="28" t="n">
        <x:f>'參數'!$C$43</x:f>
        <x:v>1</x:v>
      </x:c>
      <x:c r="AK121" s="28" t="n">
        <x:f>MAX(0,(IF($B121="dso",$D121,IF($C121="dso",$E121,'參數'!$C$32))-(1-AI121)*IF($B121="dpo",$D121,IF($C121="dpo",$E121,'參數'!$C$33)))/365)</x:f>
        <x:v>0.11276712328767122</x:v>
      </x:c>
      <x:c r="AL121" s="28" t="n">
        <x:f>IF(AK121=0,AB121,(MAX(0,AJ121)+IF($B121="credit",$D121,IF($C121="credit",$E121,'參數'!$C$37)))/AK121)</x:f>
        <x:v>35.47133138969874</x:v>
      </x:c>
      <x:c r="AM121" s="28" t="n">
        <x:f>MIN(AB121,AC121,AL121)</x:f>
        <x:v>10</x:v>
      </x:c>
      <x:c r="AN121" s="28" t="n">
        <x:f>IF(AB121=0,0,AM121*Y121/AB121)</x:f>
        <x:v>4</x:v>
      </x:c>
      <x:c r="AO121" s="28" t="n">
        <x:f>IF(AB121=0,0,AM121*Z121/AB121)</x:f>
        <x:v>6</x:v>
      </x:c>
      <x:c r="AP121" s="28" t="n">
        <x:f>IF(AB121=0,0,AM121*AA121/AB121)</x:f>
        <x:v>0</x:v>
      </x:c>
      <x:c r="AQ121" s="28" t="n">
        <x:f>V121+L121-AN121</x:f>
        <x:v>0</x:v>
      </x:c>
      <x:c r="AR121" s="28" t="n">
        <x:f>W121+M121-AO121</x:f>
        <x:v>0</x:v>
      </x:c>
      <x:c r="AS121" s="28" t="n">
        <x:f>X121+N121-AP121</x:f>
        <x:v>10</x:v>
      </x:c>
      <x:c r="AT121" s="28" t="n">
        <x:f>AQ121+AR121+AS121</x:f>
        <x:v>10</x:v>
      </x:c>
      <x:c r="AU121" s="28" t="n">
        <x:f>AN121*(1-AF121)+AO121*(1-AG121)+AP121*(1-AH121)</x:f>
        <x:v>8.14</x:v>
      </x:c>
      <x:c r="AV121" s="28" t="n">
        <x:f>AM121-AU121</x:f>
        <x:v>1.8599999999999994</x:v>
      </x:c>
      <x:c r="AW121" s="29" t="n">
        <x:f>IF(AM121=0,0,AV121/AM121)</x:f>
        <x:v>0.18599999999999994</x:v>
      </x:c>
      <x:c r="AX121" s="28" t="n">
        <x:f>IF($B121="head",$D121,IF($C121="head",$E121,'參數'!$C$29))*IF($B121="wage",$D121,IF($C121="wage",$E121,'參數'!$C$30))</x:f>
        <x:v>0.22</x:v>
      </x:c>
      <x:c r="AY121" s="28" t="n">
        <x:f>IF($B121="opex",$D121,IF($C121="opex",$E121,'參數'!$C$31))</x:f>
        <x:v>0.23</x:v>
      </x:c>
      <x:c r="AZ121" s="28" t="n">
        <x:f>AX121+AY121</x:f>
        <x:v>0.45</x:v>
      </x:c>
      <x:c r="BA121" s="28" t="n">
        <x:f>AV121-AZ121</x:f>
        <x:v>1.4099999999999995</x:v>
      </x:c>
      <x:c r="BB121" s="28" t="n">
        <x:f>AM121*AK121</x:f>
        <x:v>1.1276712328767122</x:v>
      </x:c>
      <x:c r="BC121" s="28" t="n">
        <x:f>0</x:f>
        <x:v>0</x:v>
      </x:c>
      <x:c r="BD121" s="28" t="n">
        <x:f>MAX(0,BB121-MAX(0,AJ121))</x:f>
        <x:v>0.12767123287671223</x:v>
      </x:c>
      <x:c r="BE121" s="28" t="n">
        <x:f>(BC121+BD121)/2</x:f>
        <x:v>0.06383561643835611</x:v>
      </x:c>
      <x:c r="BF121" s="28" t="n">
        <x:f>BE121*IF($B121="rate",$D121,IF($C121="rate",$E121,'參數'!$C$34))</x:f>
        <x:v>0.0025534246575342444</x:v>
      </x:c>
      <x:c r="BG121" s="28" t="n">
        <x:f>IF($B121="nonop",$D121,IF($C121="nonop",$E121,'參數'!$C$36))</x:f>
        <x:v>0.02</x:v>
      </x:c>
      <x:c r="BH121" s="28" t="n">
        <x:f>BA121+BG121-BF121</x:f>
        <x:v>1.4274465753424652</x:v>
      </x:c>
      <x:c r="BI121" s="28" t="n">
        <x:f>MAX(0,BH121)*IF($B121="tax",$D121,IF($C121="tax",$E121,'參數'!$C$35))</x:f>
        <x:v>0.28548931506849307</x:v>
      </x:c>
      <x:c r="BJ121" s="28" t="n">
        <x:f>BH121-BI121</x:f>
        <x:v>1.1419572602739723</x:v>
      </x:c>
      <x:c r="BK121" s="29" t="n">
        <x:f>IF(AM121=0,0,BJ121/AM121)</x:f>
        <x:v>0.11419572602739722</x:v>
      </x:c>
      <x:c r="BL121" s="28" t="n">
        <x:f>IF(BJ121&gt;=0,BJ121*IF($B121="retain",$D121,IF($C121="retain",$E121,'參數'!$C$38)),BJ121)</x:f>
        <x:v>0.5709786301369861</x:v>
      </x:c>
      <x:c r="BM121" s="28" t="n">
        <x:f>AJ121+BL121</x:f>
        <x:v>1.5709786301369861</x:v>
      </x:c>
      <x:c r="BN121" s="28" t="n">
        <x:f>MAX(0,AB121-AC121)</x:f>
        <x:v>0</x:v>
      </x:c>
      <x:c r="BO121" s="28" t="n">
        <x:f>MAX(0,MIN(AB121,AC121)-AM121)</x:f>
        <x:v>0</x:v>
      </x:c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8" ht="34" customHeight="1">
      <x:c r="A128" s="27" t="str">
        <x:v>敏感程度前六項</x:v>
      </x:c>
      <x:c r="B128" s="27" t="str">
        <x:v>低端淨利差</x:v>
      </x:c>
      <x:c r="C128" s="27" t="str">
        <x:v>高端淨利差</x:v>
      </x:c>
      <x:c r="D128" s="27" t="str">
        <x:v>排序</x:v>
      </x:c>
    </x:row>
    <x:row r="129">
      <x:c r="A129" t="str">
        <x:f>INDEX($A$5:$A$23,MATCH(D129,$M$5:$M$23,0))</x:f>
        <x:v>直接成本漲價率</x:v>
      </x:c>
      <x:c r="B129" s="28" t="n">
        <x:f>INDEX($G$5:$G$23,MATCH(D129,$M$5:$M$23,0))</x:f>
        <x:v>0</x:v>
      </x:c>
      <x:c r="C129" s="28" t="n">
        <x:f>INDEX($H$5:$H$23,MATCH(D129,$M$5:$M$23,0))</x:f>
        <x:v>-0.3364900821917812</x:v>
      </x:c>
      <x:c r="D129" t="n">
        <x:v>1</x:v>
      </x:c>
    </x:row>
    <x:row r="130">
      <x:c r="A130" t="str">
        <x:f>INDEX($A$5:$A$23,MATCH(D130,$M$5:$M$23,0))</x:f>
        <x:v>OU年度交付容量</x:v>
      </x:c>
      <x:c r="B130" s="28" t="n">
        <x:f>INDEX($G$5:$G$23,MATCH(D130,$M$5:$M$23,0))</x:f>
        <x:v>-0.2643463013698636</x:v>
      </x:c>
      <x:c r="C130" s="28" t="n">
        <x:f>INDEX($H$5:$H$23,MATCH(D130,$M$5:$M$23,0))</x:f>
        <x:v>0</x:v>
      </x:c>
      <x:c r="D130" t="n">
        <x:v>2</x:v>
      </x:c>
    </x:row>
    <x:row r="131">
      <x:c r="A131" t="str">
        <x:f>INDEX($A$5:$A$23,MATCH(D131,$M$5:$M$23,0))</x:f>
        <x:v>新增案源規模倍率</x:v>
      </x:c>
      <x:c r="B131" s="28" t="n">
        <x:f>INDEX($G$5:$G$23,MATCH(D131,$M$5:$M$23,0))</x:f>
        <x:v>-0.2483463013698639</x:v>
      </x:c>
      <x:c r="C131" s="28" t="n">
        <x:f>INDEX($H$5:$H$23,MATCH(D131,$M$5:$M$23,0))</x:f>
        <x:v>-0.015947397260275054</x:v>
      </x:c>
      <x:c r="D131" t="n">
        <x:v>3</x:v>
      </x:c>
    </x:row>
    <x:row r="132">
      <x:c r="A132" t="str">
        <x:f>INDEX($A$5:$A$23,MATCH(D132,$M$5:$M$23,0))</x:f>
        <x:v>三軌共同毛利率變動</x:v>
      </x:c>
      <x:c r="B132" s="28" t="n">
        <x:f>INDEX($G$5:$G$23,MATCH(D132,$M$5:$M$23,0))</x:f>
        <x:v>-0.23921095890411015</x:v>
      </x:c>
      <x:c r="C132" s="28" t="n">
        <x:f>INDEX($H$5:$H$23,MATCH(D132,$M$5:$M$23,0))</x:f>
        <x:v>0.23921095890410882</x:v>
      </x:c>
      <x:c r="D132" t="n">
        <x:v>4</x:v>
      </x:c>
    </x:row>
    <x:row r="133">
      <x:c r="A133" t="str">
        <x:f>INDEX($A$5:$A$23,MATCH(D133,$M$5:$M$23,0))</x:f>
        <x:v>資管年度立案轉化率</x:v>
      </x:c>
      <x:c r="B133" s="28" t="n">
        <x:f>INDEX($G$5:$G$23,MATCH(D133,$M$5:$M$23,0))</x:f>
        <x:v>-0.21474630136986406</x:v>
      </x:c>
      <x:c r="C133" s="28" t="n">
        <x:f>INDEX($H$5:$H$23,MATCH(D133,$M$5:$M$23,0))</x:f>
        <x:v>0.013000595592613906</x:v>
      </x:c>
      <x:c r="D133" t="n">
        <x:v>5</x:v>
      </x:c>
    </x:row>
    <x:row r="134">
      <x:c r="A134" t="str">
        <x:f>INDEX($A$5:$A$23,MATCH(D134,$M$5:$M$23,0))</x:f>
        <x:v>資管當年新約可交付率</x:v>
      </x:c>
      <x:c r="B134" s="28" t="n">
        <x:f>INDEX($G$5:$G$23,MATCH(D134,$M$5:$M$23,0))</x:f>
        <x:v>-0.17154630136986382</x:v>
      </x:c>
      <x:c r="C134" s="28" t="n">
        <x:f>INDEX($H$5:$H$23,MATCH(D134,$M$5:$M$23,0))</x:f>
        <x:v>0</x:v>
      </x:c>
      <x:c r="D134" t="n">
        <x:v>6</x:v>
      </x:c>
    </x:row>
  </x:sheetData>
  <x:mergeCells>
    <x:mergeCell ref="A26:L26"/>
    <x:mergeCell ref="A27:L27"/>
    <x:mergeCell ref="A28:L28"/>
  </x:mergeCells>
  <x:dataValidations count="38">
    <x:dataValidation type="decimal" operator="between" sqref="C5">
      <x:formula1>0</x:formula1>
      <x:formula2>10</x:formula2>
    </x:dataValidation>
    <x:dataValidation type="decimal" operator="between" sqref="D5">
      <x:formula1>0</x:formula1>
      <x:formula2>10</x:formula2>
    </x:dataValidation>
    <x:dataValidation type="decimal" operator="between" sqref="C6">
      <x:formula1>0</x:formula1>
      <x:formula2>1</x:formula2>
    </x:dataValidation>
    <x:dataValidation type="decimal" operator="between" sqref="D6">
      <x:formula1>0</x:formula1>
      <x:formula2>1</x:formula2>
    </x:dataValidation>
    <x:dataValidation type="decimal" operator="between" sqref="C7">
      <x:formula1>0</x:formula1>
      <x:formula2>1</x:formula2>
    </x:dataValidation>
    <x:dataValidation type="decimal" operator="between" sqref="D7">
      <x:formula1>0</x:formula1>
      <x:formula2>1</x:formula2>
    </x:dataValidation>
    <x:dataValidation type="decimal" operator="between" sqref="C8">
      <x:formula1>0</x:formula1>
      <x:formula2>1</x:formula2>
    </x:dataValidation>
    <x:dataValidation type="decimal" operator="between" sqref="D8">
      <x:formula1>0</x:formula1>
      <x:formula2>1</x:formula2>
    </x:dataValidation>
    <x:dataValidation type="decimal" operator="between" sqref="C9">
      <x:formula1>0</x:formula1>
      <x:formula2>1</x:formula2>
    </x:dataValidation>
    <x:dataValidation type="decimal" operator="between" sqref="D9">
      <x:formula1>0</x:formula1>
      <x:formula2>1</x:formula2>
    </x:dataValidation>
    <x:dataValidation type="decimal" operator="between" sqref="C10">
      <x:formula1>0</x:formula1>
      <x:formula2>1</x:formula2>
    </x:dataValidation>
    <x:dataValidation type="decimal" operator="between" sqref="D10">
      <x:formula1>0</x:formula1>
      <x:formula2>1</x:formula2>
    </x:dataValidation>
    <x:dataValidation type="decimal" operator="between" sqref="C11">
      <x:formula1>0</x:formula1>
      <x:formula2>1</x:formula2>
    </x:dataValidation>
    <x:dataValidation type="decimal" operator="between" sqref="D11">
      <x:formula1>0</x:formula1>
      <x:formula2>1</x:formula2>
    </x:dataValidation>
    <x:dataValidation type="decimal" operator="between" sqref="C12">
      <x:formula1>0</x:formula1>
      <x:formula2>10000</x:formula2>
    </x:dataValidation>
    <x:dataValidation type="decimal" operator="between" sqref="D12">
      <x:formula1>0</x:formula1>
      <x:formula2>10000</x:formula2>
    </x:dataValidation>
    <x:dataValidation type="decimal" operator="between" sqref="C13">
      <x:formula1>-0.5</x:formula1>
      <x:formula2>0.5</x:formula2>
    </x:dataValidation>
    <x:dataValidation type="decimal" operator="between" sqref="D13">
      <x:formula1>-0.5</x:formula1>
      <x:formula2>0.5</x:formula2>
    </x:dataValidation>
    <x:dataValidation type="decimal" operator="between" sqref="C14">
      <x:formula1>0</x:formula1>
      <x:formula2>1</x:formula2>
    </x:dataValidation>
    <x:dataValidation type="decimal" operator="between" sqref="D14">
      <x:formula1>0</x:formula1>
      <x:formula2>1</x:formula2>
    </x:dataValidation>
    <x:dataValidation type="decimal" operator="between" sqref="C15">
      <x:formula1>0</x:formula1>
      <x:formula2>2</x:formula2>
    </x:dataValidation>
    <x:dataValidation type="decimal" operator="between" sqref="D15">
      <x:formula1>0</x:formula1>
      <x:formula2>2</x:formula2>
    </x:dataValidation>
    <x:dataValidation type="whole" operator="between" sqref="C16">
      <x:formula1>0</x:formula1>
      <x:formula2>10000</x:formula2>
    </x:dataValidation>
    <x:dataValidation type="whole" operator="between" sqref="D16">
      <x:formula1>0</x:formula1>
      <x:formula2>10000</x:formula2>
    </x:dataValidation>
    <x:dataValidation type="decimal" operator="between" sqref="C17">
      <x:formula1>0</x:formula1>
      <x:formula2>100</x:formula2>
    </x:dataValidation>
    <x:dataValidation type="decimal" operator="between" sqref="D17">
      <x:formula1>0</x:formula1>
      <x:formula2>100</x:formula2>
    </x:dataValidation>
    <x:dataValidation type="decimal" operator="between" sqref="C18">
      <x:formula1>0</x:formula1>
      <x:formula2>10000</x:formula2>
    </x:dataValidation>
    <x:dataValidation type="decimal" operator="between" sqref="D18">
      <x:formula1>0</x:formula1>
      <x:formula2>10000</x:formula2>
    </x:dataValidation>
    <x:dataValidation type="decimal" operator="between" sqref="C19">
      <x:formula1>0</x:formula1>
      <x:formula2>365</x:formula2>
    </x:dataValidation>
    <x:dataValidation type="decimal" operator="between" sqref="D19">
      <x:formula1>0</x:formula1>
      <x:formula2>365</x:formula2>
    </x:dataValidation>
    <x:dataValidation type="decimal" operator="between" sqref="C20">
      <x:formula1>0</x:formula1>
      <x:formula2>365</x:formula2>
    </x:dataValidation>
    <x:dataValidation type="decimal" operator="between" sqref="D20">
      <x:formula1>0</x:formula1>
      <x:formula2>365</x:formula2>
    </x:dataValidation>
    <x:dataValidation type="decimal" operator="between" sqref="C21">
      <x:formula1>0</x:formula1>
      <x:formula2>1</x:formula2>
    </x:dataValidation>
    <x:dataValidation type="decimal" operator="between" sqref="D21">
      <x:formula1>0</x:formula1>
      <x:formula2>1</x:formula2>
    </x:dataValidation>
    <x:dataValidation type="decimal" operator="between" sqref="C22">
      <x:formula1>0</x:formula1>
      <x:formula2>10000</x:formula2>
    </x:dataValidation>
    <x:dataValidation type="decimal" operator="between" sqref="D22">
      <x:formula1>0</x:formula1>
      <x:formula2>10000</x:formula2>
    </x:dataValidation>
    <x:dataValidation type="decimal" operator="between" sqref="C23">
      <x:formula1>0</x:formula1>
      <x:formula2>1</x:formula2>
    </x:dataValidation>
    <x:dataValidation type="decimal" operator="between" sqref="D23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c9c89fc72e8d4c62"/>
</x:worksheet>
</file>

<file path=xl/worksheets/sheet5.xml><?xml version="1.0" encoding="utf-8"?>
<x:worksheet xmlns:x="http://schemas.openxmlformats.org/spreadsheetml/2006/main">
  <x:sheetPr>
    <x:tabColor rgb="FF397DA3"/>
  </x:sheetPr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FY2027 產能與毛利雙因子</x:v>
      </x:c>
      <x:c r="B1" s="2"/>
      <x:c r="C1" s="2"/>
      <x:c r="D1" s="2"/>
      <x:c r="E1" s="2"/>
      <x:c r="F1" s="2"/>
    </x:row>
    <x:row r="2" ht="24" customHeight="1">
      <x:c r="A2" s="4" t="str">
        <x:v>黃色格可改；矩陣為稅後淨利（億元），相對目前FY2027參數計算。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2" t="str">
        <x:v>目前OU容量（億元）</x:v>
      </x:c>
      <x:c r="B4" s="11" t="n">
        <x:f>'參數'!C20</x:f>
        <x:v>10</x:v>
      </x:c>
      <x:c r="C4" s="11"/>
      <x:c r="D4" s="11" t="str">
        <x:v>目前淨利</x:v>
      </x:c>
      <x:c r="E4" s="11" t="n">
        <x:f>'三年模型'!C61</x:f>
        <x:v>0.9027463013698634</x:v>
      </x:c>
      <x:c r="F4" s="11"/>
    </x:row>
    <x:row r="5" ht="24" customHeight="1">
      <x:c r="A5" s="2" t="str">
        <x:v>OU容量倍率</x:v>
      </x:c>
      <x:c r="B5" s="23" t="n">
        <x:v>0.6</x:v>
      </x:c>
      <x:c r="C5" s="23" t="n">
        <x:v>0.8</x:v>
      </x:c>
      <x:c r="D5" s="23" t="n">
        <x:v>1</x:v>
      </x:c>
      <x:c r="E5" s="23" t="n">
        <x:v>1.2</x:v>
      </x:c>
      <x:c r="F5" s="23" t="n">
        <x:v>1.4</x:v>
      </x:c>
    </x:row>
    <x:row r="6" ht="34" customHeight="1">
      <x:c r="A6" s="7" t="str">
        <x:v>額外毛利變動／實際容量</x:v>
      </x:c>
      <x:c r="B6" s="24" t="n">
        <x:f>B5*$B$4</x:f>
        <x:v>6</x:v>
      </x:c>
      <x:c r="C6" s="24" t="n">
        <x:f>C5*$B$4</x:f>
        <x:v>8</x:v>
      </x:c>
      <x:c r="D6" s="24" t="n">
        <x:f>D5*$B$4</x:f>
        <x:v>10</x:v>
      </x:c>
      <x:c r="E6" s="24" t="n">
        <x:f>E5*$B$4</x:f>
        <x:v>12</x:v>
      </x:c>
      <x:c r="F6" s="24" t="n">
        <x:f>F5*$B$4</x:f>
        <x:v>14</x:v>
      </x:c>
    </x:row>
    <x:row r="7" ht="24" customHeight="1">
      <x:c r="A7" s="13" t="n">
        <x:v>-0.03</x:v>
      </x:c>
      <x:c r="B7" s="11" t="n">
        <x:f>'單因子敏感性'!BJ97</x:f>
        <x:v>0.22879999999999945</x:v>
      </x:c>
      <x:c r="C7" s="11" t="n">
        <x:f>'單因子敏感性'!BJ98</x:f>
        <x:v>0.4463999999999997</x:v>
      </x:c>
      <x:c r="D7" s="11" t="n">
        <x:f>'單因子敏感性'!BJ99</x:f>
        <x:v>0.6635353424657533</x:v>
      </x:c>
      <x:c r="E7" s="11" t="n">
        <x:f>'單因子敏感性'!BJ100</x:f>
        <x:v>0.6635353424657533</x:v>
      </x:c>
      <x:c r="F7" s="11" t="n">
        <x:f>'單因子敏感性'!BJ101</x:f>
        <x:v>0.6635353424657533</x:v>
      </x:c>
    </x:row>
    <x:row r="8" ht="24" customHeight="1">
      <x:c r="A8" s="13" t="n">
        <x:v>-0.015</x:v>
      </x:c>
      <x:c r="B8" s="11" t="n">
        <x:f>'單因子敏感性'!BJ102</x:f>
        <x:v>0.30080000000000007</x:v>
      </x:c>
      <x:c r="C8" s="11" t="n">
        <x:f>'單因子敏感性'!BJ103</x:f>
        <x:v>0.5424000000000004</x:v>
      </x:c>
      <x:c r="D8" s="11" t="n">
        <x:f>'單因子敏感性'!BJ104</x:f>
        <x:v>0.7831408219178083</x:v>
      </x:c>
      <x:c r="E8" s="11" t="n">
        <x:f>'單因子敏感性'!BJ105</x:f>
        <x:v>0.7831408219178083</x:v>
      </x:c>
      <x:c r="F8" s="11" t="n">
        <x:f>'單因子敏感性'!BJ106</x:f>
        <x:v>0.7831408219178083</x:v>
      </x:c>
    </x:row>
    <x:row r="9" ht="24" customHeight="1">
      <x:c r="A9" s="13" t="n">
        <x:v>0</x:v>
      </x:c>
      <x:c r="B9" s="11" t="n">
        <x:f>'單因子敏感性'!BJ107</x:f>
        <x:v>0.3727999999999999</x:v>
      </x:c>
      <x:c r="C9" s="11" t="n">
        <x:f>'單因子敏感性'!BJ108</x:f>
        <x:v>0.6383999999999999</x:v>
      </x:c>
      <x:c r="D9" s="11" t="n">
        <x:f>'單因子敏感性'!BJ109</x:f>
        <x:v>0.9027463013698634</x:v>
      </x:c>
      <x:c r="E9" s="11" t="n">
        <x:f>'單因子敏感性'!BJ110</x:f>
        <x:v>0.9027463013698634</x:v>
      </x:c>
      <x:c r="F9" s="11" t="n">
        <x:f>'單因子敏感性'!BJ111</x:f>
        <x:v>0.9027463013698634</x:v>
      </x:c>
    </x:row>
    <x:row r="10" ht="24" customHeight="1">
      <x:c r="A10" s="13" t="n">
        <x:v>0.015</x:v>
      </x:c>
      <x:c r="B10" s="11" t="n">
        <x:f>'單因子敏感性'!BJ112</x:f>
        <x:v>0.4448000000000006</x:v>
      </x:c>
      <x:c r="C10" s="11" t="n">
        <x:f>'單因子敏感性'!BJ113</x:f>
        <x:v>0.7344000000000006</x:v>
      </x:c>
      <x:c r="D10" s="11" t="n">
        <x:f>'單因子敏感性'!BJ114</x:f>
        <x:v>1.0223517808219185</x:v>
      </x:c>
      <x:c r="E10" s="11" t="n">
        <x:f>'單因子敏感性'!BJ115</x:f>
        <x:v>1.0223517808219185</x:v>
      </x:c>
      <x:c r="F10" s="11" t="n">
        <x:f>'單因子敏感性'!BJ116</x:f>
        <x:v>1.0223517808219185</x:v>
      </x:c>
    </x:row>
    <x:row r="11" ht="24" customHeight="1">
      <x:c r="A11" s="13" t="n">
        <x:v>0.03</x:v>
      </x:c>
      <x:c r="B11" s="11" t="n">
        <x:f>'單因子敏感性'!BJ117</x:f>
        <x:v>0.5168000000000005</x:v>
      </x:c>
      <x:c r="C11" s="11" t="n">
        <x:f>'單因子敏感性'!BJ118</x:f>
        <x:v>0.8304</x:v>
      </x:c>
      <x:c r="D11" s="11" t="n">
        <x:f>'單因子敏感性'!BJ119</x:f>
        <x:v>1.1419572602739723</x:v>
      </x:c>
      <x:c r="E11" s="11" t="n">
        <x:f>'單因子敏感性'!BJ120</x:f>
        <x:v>1.1419572602739723</x:v>
      </x:c>
      <x:c r="F11" s="11" t="n">
        <x:f>'單因子敏感性'!BJ121</x:f>
        <x:v>1.1419572602739723</x:v>
      </x:c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38" customHeight="1">
      <x:c r="A14" s="15" t="str">
        <x:v>橫向：增加產能的收益，是否已遇到訂單或資金瓶頸？</x:v>
      </x:c>
      <x:c r="B14" s="15"/>
      <x:c r="C14" s="15"/>
      <x:c r="D14" s="15"/>
      <x:c r="E14" s="15"/>
      <x:c r="F14" s="15"/>
    </x:row>
    <x:row r="15" ht="24" customHeight="1">
      <x:c r="A15" s="2"/>
      <x:c r="B15" s="2"/>
      <x:c r="C15" s="2"/>
      <x:c r="D15" s="2"/>
      <x:c r="E15" s="2"/>
      <x:c r="F15" s="2"/>
    </x:row>
    <x:row r="16" ht="38" customHeight="1">
      <x:c r="A16" s="15" t="str">
        <x:v>縱向：相同產能下，毛利讓利或改善如何影響淨利？</x:v>
      </x:c>
      <x:c r="B16" s="15"/>
      <x:c r="C16" s="15"/>
      <x:c r="D16" s="15"/>
      <x:c r="E16" s="15"/>
      <x:c r="F16" s="15"/>
    </x:row>
    <x:row r="17" ht="24" customHeight="1">
      <x:c r="A17" s="2"/>
      <x:c r="B17" s="2"/>
      <x:c r="C17" s="2"/>
      <x:c r="D17" s="2"/>
      <x:c r="E17" s="2"/>
      <x:c r="F17" s="2"/>
    </x:row>
    <x:row r="18" ht="42" customHeight="1">
      <x:c r="A18" s="15" t="str">
        <x:v>已納入超負荷成本、營運資金限制、平均借款利息及所得稅。不是以淨利直接加減。</x:v>
      </x:c>
      <x:c r="B18" s="15"/>
      <x:c r="C18" s="15"/>
      <x:c r="D18" s="15"/>
      <x:c r="E18" s="15"/>
      <x:c r="F18" s="15"/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46" customHeight="1">
      <x:c r="A21" s="15" t="str">
        <x:v>本表只衡量FY2027。提高產能不自動增員；若需人力或其他成本，請在「參數」同步調整。</x:v>
      </x:c>
      <x:c r="B21" s="15"/>
      <x:c r="C21" s="15"/>
      <x:c r="D21" s="15"/>
      <x:c r="E21" s="15"/>
      <x:c r="F21" s="15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</x:sheetData>
  <x:mergeCells>
    <x:mergeCell ref="A14:F14"/>
    <x:mergeCell ref="A16:F16"/>
    <x:mergeCell ref="A18:F18"/>
    <x:mergeCell ref="A21:F21"/>
  </x:mergeCells>
  <x:conditionalFormatting sqref="B7:F11">
    <x:cfRule type="colorScale" priority="1">
      <x:colorScale>
        <x:cfvo type="min"/>
        <x:cfvo type="percentile" val="50"/>
        <x:cfvo type="max"/>
        <x:color rgb="FFF5D9D6"/>
        <x:color rgb="FFFFFFFF"/>
        <x:color rgb="FFC9E4D2"/>
      </x:colorScale>
    </x:cfRule>
  </x:conditionalFormatting>
  <x:dataValidations count="6">
    <x:dataValidation type="decimal" operator="between" sqref="B5:F5">
      <x:formula1>0</x:formula1>
      <x:formula2>10</x:formula2>
    </x:dataValidation>
    <x:dataValidation type="decimal" operator="between" sqref="A7">
      <x:formula1>-0.5</x:formula1>
      <x:formula2>0.5</x:formula2>
    </x:dataValidation>
    <x:dataValidation type="decimal" operator="between" sqref="A8">
      <x:formula1>-0.5</x:formula1>
      <x:formula2>0.5</x:formula2>
    </x:dataValidation>
    <x:dataValidation type="decimal" operator="between" sqref="A9">
      <x:formula1>-0.5</x:formula1>
      <x:formula2>0.5</x:formula2>
    </x:dataValidation>
    <x:dataValidation type="decimal" operator="between" sqref="A10">
      <x:formula1>-0.5</x:formula1>
      <x:formula2>0.5</x:formula2>
    </x:dataValidation>
    <x:dataValidation type="decimal" operator="between" sqref="A11">
      <x:formula1>-0.5</x:formula1>
      <x:formula2>0.5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2" hidden="0" customWidth="1"/>
    <x:col min="3" max="3" width="27" hidden="0" customWidth="1"/>
    <x:col min="4" max="4" width="6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系統動力學結構</x:v>
      </x:c>
      <x:c r="B1" s="2"/>
      <x:c r="C1" s="2"/>
      <x:c r="D1" s="2"/>
    </x:row>
    <x:row r="2" ht="24" customHeight="1">
      <x:c r="A2" s="4" t="str">
        <x:v>年度離散模型；＋同向、－反向，Δt＝1年。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34" customHeight="1">
      <x:c r="A4" s="7" t="str">
        <x:v>存量或流量</x:v>
      </x:c>
      <x:c r="B4" s="7" t="str">
        <x:v>方程與關係</x:v>
      </x:c>
      <x:c r="C4" s="7" t="str">
        <x:v>時間效果</x:v>
      </x:c>
      <x:c r="D4" s="7" t="str">
        <x:v>損益影響</x:v>
      </x:c>
    </x:row>
    <x:row r="5" ht="68" customHeight="1">
      <x:c r="A5" s="12" t="str">
        <x:v>未成交案源</x:v>
      </x:c>
      <x:c r="B5" s="12" t="str">
        <x:v>期末＝期初＋新增－簽約－淘汰</x:v>
      </x:c>
      <x:c r="C5" s="12" t="str">
        <x:v>滾入下一年</x:v>
      </x:c>
      <x:c r="D5" s="12" t="str">
        <x:v>轉化率與淘汰率影響簽約；案源增加未必立即增加營收。</x:v>
      </x:c>
    </x:row>
    <x:row r="6" ht="68" customHeight="1">
      <x:c r="A6" s="12" t="str">
        <x:v>在手訂單</x:v>
      </x:c>
      <x:c r="B6" s="12" t="str">
        <x:v>期末＝期初＋新增簽約－交付</x:v>
      </x:c>
      <x:c r="C6" s="12" t="str">
        <x:v>AIDC當年可交付預設0</x:v>
      </x:c>
      <x:c r="D6" s="12" t="str">
        <x:v>延後的交付留在跨年訂單，不直接當作收入損失。</x:v>
      </x:c>
    </x:row>
    <x:row r="7" ht="68" customHeight="1">
      <x:c r="A7" s="12" t="str">
        <x:v>交付／營收</x:v>
      </x:c>
      <x:c r="B7" s="12" t="str">
        <x:v>MIN(可交付訂單,OU容量,資金容量)</x:v>
      </x:c>
      <x:c r="C7" s="12" t="str">
        <x:v>釋放率代表延遲</x:v>
      </x:c>
      <x:c r="D7" s="12" t="str">
        <x:v>由最緊的限制決定，實際財務認列需另確認。</x:v>
      </x:c>
    </x:row>
    <x:row r="8" ht="68" customHeight="1">
      <x:c r="A8" s="12" t="str">
        <x:v>營運資金池</x:v>
      </x:c>
      <x:c r="B8" s="12" t="str">
        <x:v>期末＝期初＋保留盈餘代理值</x:v>
      </x:c>
      <x:c r="C8" s="12" t="str">
        <x:v>次年可投入</x:v>
      </x:c>
      <x:c r="D8" s="12" t="str">
        <x:v>獲利支持成長，虧損全額扣減資金池。</x:v>
      </x:c>
    </x:row>
    <x:row r="9" ht="68" customHeight="1">
      <x:c r="A9" s="12" t="str">
        <x:v>借款與利息</x:v>
      </x:c>
      <x:c r="B9" s="12" t="str">
        <x:v>應收減應付估資金需求，差額借款</x:v>
      </x:c>
      <x:c r="C9" s="12" t="str">
        <x:v>平均借款計息</x:v>
      </x:c>
      <x:c r="D9" s="12" t="str">
        <x:v>收款慢提高資金占用與利息，額度不足限制交付。</x:v>
      </x:c>
    </x:row>
    <x:row r="10" ht="24" customHeight="1">
      <x:c r="A10" s="2"/>
      <x:c r="B10" s="2"/>
      <x:c r="C10" s="2"/>
      <x:c r="D10" s="2"/>
    </x:row>
    <x:row r="11" ht="24" customHeight="1">
      <x:c r="A11" s="2"/>
      <x:c r="B11" s="2"/>
      <x:c r="C11" s="2"/>
      <x:c r="D11" s="2"/>
    </x:row>
    <x:row r="12" ht="34" customHeight="1">
      <x:c r="A12" s="7" t="str">
        <x:v>迴路</x:v>
      </x:c>
      <x:c r="B12" s="7" t="str">
        <x:v>因果鏈（括號為方向）</x:v>
      </x:c>
      <x:c r="C12" s="7" t="str">
        <x:v>類型</x:v>
      </x:c>
      <x:c r="D12" s="7" t="str">
        <x:v>模型落點</x:v>
      </x:c>
    </x:row>
    <x:row r="13" ht="92" customHeight="1">
      <x:c r="A13" s="12" t="str">
        <x:v>R1 成長再投入</x:v>
      </x:c>
      <x:c r="B13" s="12" t="str">
        <x:v>交付(+)→毛利(+)→淨利(+)→次年資金池(+)→可交付能力(+)→交付</x:v>
      </x:c>
      <x:c r="C13" s="12" t="str">
        <x:v>增強，延遲一年</x:v>
      </x:c>
      <x:c r="D13" s="12" t="str">
        <x:v>保留比例、期初資金、資金需求與借款上限。</x:v>
      </x:c>
    </x:row>
    <x:row r="14" ht="92" customHeight="1">
      <x:c r="A14" s="12" t="str">
        <x:v>B1 訂單消化</x:v>
      </x:c>
      <x:c r="B14" s="12" t="str">
        <x:v>在手訂單(+)→可交付量(+)→交付(−)→在手訂單</x:v>
      </x:c>
      <x:c r="C14" s="12" t="str">
        <x:v>平衡，受容量限制</x:v>
      </x:c>
      <x:c r="D14" s="12" t="str">
        <x:v>訂單釋放率、交付與期末訂單結轉。</x:v>
      </x:c>
    </x:row>
    <x:row r="15" ht="92" customHeight="1">
      <x:c r="A15" s="12" t="str">
        <x:v>R2 壅塞惡化</x:v>
      </x:c>
      <x:c r="B15" s="12" t="str">
        <x:v>積壓(+)→負荷(+)→成本(−)→淨利(+)→次年資金池(+)→交付(−)→積壓</x:v>
      </x:c>
      <x:c r="C15" s="12" t="str">
        <x:v>增強，可能惡化</x:v>
      </x:c>
      <x:c r="D15" s="12" t="str">
        <x:v>超負荷成本降低利潤，限制條件生效時可加劇積壓。</x:v>
      </x:c>
    </x:row>
    <x:row r="16" ht="92" customHeight="1">
      <x:c r="A16" s="12" t="str">
        <x:v>B2 融資成本制約</x:v>
      </x:c>
      <x:c r="B16" s="12" t="str">
        <x:v>交付(+)→資金需求(+)→借款(+)→利息(−)→淨利(+)→次年資金池(+)→交付</x:v>
      </x:c>
      <x:c r="C16" s="12" t="str">
        <x:v>平衡，延遲一年</x:v>
      </x:c>
      <x:c r="D16" s="12" t="str">
        <x:v>DSO、DPO、利率、平均借款與保留盈餘。</x:v>
      </x:c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4" customHeight="1">
      <x:c r="A19" s="7" t="str">
        <x:v>建議實驗</x:v>
      </x:c>
      <x:c r="B19" s="7" t="str">
        <x:v>調整</x:v>
      </x:c>
      <x:c r="C19" s="7" t="str">
        <x:v>先看</x:v>
      </x:c>
      <x:c r="D19" s="7" t="str">
        <x:v>再看</x:v>
      </x:c>
    </x:row>
    <x:row r="20" ht="64" customHeight="1">
      <x:c r="A20" s="12" t="str">
        <x:v>只追簽約</x:v>
      </x:c>
      <x:c r="B20" s="12" t="str">
        <x:v>提高案源倍率與轉化率</x:v>
      </x:c>
      <x:c r="C20" s="12" t="str">
        <x:v>簽約是否增加</x:v>
      </x:c>
      <x:c r="D20" s="12" t="str">
        <x:v>營收受限時，期末訂單與壅塞成本是否上升。</x:v>
      </x:c>
    </x:row>
    <x:row r="21" ht="64" customHeight="1">
      <x:c r="A21" s="12" t="str">
        <x:v>壓價換單</x:v>
      </x:c>
      <x:c r="B21" s="12" t="str">
        <x:v>降低毛利，搭配提高轉化率</x:v>
      </x:c>
      <x:c r="C21" s="12" t="str">
        <x:v>毛利額是否增加</x:v>
      </x:c>
      <x:c r="D21" s="12" t="str">
        <x:v>淨利與下一年可投入資金。</x:v>
      </x:c>
    </x:row>
    <x:row r="22" ht="64" customHeight="1">
      <x:c r="A22" s="12" t="str">
        <x:v>買方延遲</x:v>
      </x:c>
      <x:c r="B22" s="12" t="str">
        <x:v>增加DSO或將AIDC保留率設0</x:v>
      </x:c>
      <x:c r="C22" s="12" t="str">
        <x:v>資金占用或簽約減少</x:v>
      </x:c>
      <x:c r="D22" s="12" t="str">
        <x:v>未來營收與額度限制；兩種事件可分開測試。</x:v>
      </x:c>
    </x:row>
    <x:row r="23" ht="64" customHeight="1">
      <x:c r="A23" s="12" t="str">
        <x:v>OU擴產</x:v>
      </x:c>
      <x:c r="B23" s="12" t="str">
        <x:v>增加容量，再增加人力或費用</x:v>
      </x:c>
      <x:c r="C23" s="12" t="str">
        <x:v>瓶頸是否轉為案源或資金</x:v>
      </x:c>
      <x:c r="D23" s="12" t="str">
        <x:v>增加毛利能否抵銷擴產成本。</x:v>
      </x:c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37" customHeight="1">
      <x:c r="A26" s="15" t="str">
        <x:v>這些是可檢驗的因果假設，尚未以實際案件及工期資料校準；回饋不代表已證實因果。</x:v>
      </x:c>
      <x:c r="B26" s="15"/>
      <x:c r="C26" s="15"/>
      <x:c r="D26" s="15"/>
    </x:row>
    <x:row r="27" ht="24" customHeight="1">
      <x:c r="A27" s="2"/>
      <x:c r="B27" s="2"/>
      <x:c r="C27" s="2"/>
      <x:c r="D27" s="2"/>
    </x:row>
    <x:row r="28" ht="40" customHeight="1">
      <x:c r="A28" s="15" t="str">
        <x:v>50%期初釋放為幾何遞延，餘額會繼續留存。固定12–24個月工期應改建逐案或月度批次模型。</x:v>
      </x:c>
      <x:c r="B28" s="15"/>
      <x:c r="C28" s="15"/>
      <x:c r="D28" s="15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</x:sheetData>
  <x:mergeCells>
    <x:mergeCell ref="A26:D26"/>
    <x:mergeCell ref="A28:D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來源與模型邊界</x:v>
      </x:c>
      <x:c r="B1" s="2"/>
      <x:c r="C1" s="2"/>
      <x:c r="D1" s="2"/>
      <x:c r="E1" s="2"/>
      <x:c r="F1" s="2"/>
    </x:row>
    <x:row r="2" ht="24" customHeight="1">
      <x:c r="A2" s="4" t="str">
        <x:v>讀取日2026-09-10；原網站為規劃模型，非查核實績。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34" customHeight="1">
      <x:c r="A4" s="7" t="str">
        <x:v>原計畫指標</x:v>
      </x:c>
      <x:c r="B4" s="7" t="str">
        <x:v>單位</x:v>
      </x:c>
      <x:c r="C4" s="7" t="str">
        <x:v>FY2027</x:v>
      </x:c>
      <x:c r="D4" s="7" t="str">
        <x:v>FY2028</x:v>
      </x:c>
      <x:c r="E4" s="7" t="str">
        <x:v>FY2029</x:v>
      </x:c>
      <x:c r="F4" s="7" t="str">
        <x:v>出處</x:v>
      </x:c>
    </x:row>
    <x:row r="5" ht="24" customHeight="1">
      <x:c r="A5" s="2" t="str">
        <x:v>簽約總額</x:v>
      </x:c>
      <x:c r="B5" s="2" t="str">
        <x:v>億元</x:v>
      </x:c>
      <x:c r="C5" s="11" t="n">
        <x:v>20</x:v>
      </x:c>
      <x:c r="D5" s="11" t="n">
        <x:v>26</x:v>
      </x:c>
      <x:c r="E5" s="11" t="n">
        <x:v>32</x:v>
      </x:c>
      <x:c r="F5" s="2" t="str">
        <x:v>Part 1.1</x:v>
      </x:c>
    </x:row>
    <x:row r="6" ht="24" customHeight="1">
      <x:c r="A6" s="2" t="str">
        <x:v>營業收入</x:v>
      </x:c>
      <x:c r="B6" s="2" t="str">
        <x:v>億元</x:v>
      </x:c>
      <x:c r="C6" s="11" t="n">
        <x:v>10</x:v>
      </x:c>
      <x:c r="D6" s="11" t="n">
        <x:v>19</x:v>
      </x:c>
      <x:c r="E6" s="11" t="n">
        <x:v>27.8</x:v>
      </x:c>
      <x:c r="F6" s="2" t="str">
        <x:v>Part 1.1</x:v>
      </x:c>
    </x:row>
    <x:row r="7" ht="24" customHeight="1">
      <x:c r="A7" s="2" t="str">
        <x:v>營業毛利</x:v>
      </x:c>
      <x:c r="B7" s="2" t="str">
        <x:v>億元</x:v>
      </x:c>
      <x:c r="C7" s="11" t="n">
        <x:v>1.56</x:v>
      </x:c>
      <x:c r="D7" s="11" t="n">
        <x:v>2.99</x:v>
      </x:c>
      <x:c r="E7" s="11" t="n">
        <x:v>4.38</x:v>
      </x:c>
      <x:c r="F7" s="2" t="str">
        <x:v>Part 1.1</x:v>
      </x:c>
    </x:row>
    <x:row r="8" ht="24" customHeight="1">
      <x:c r="A8" s="2" t="str">
        <x:v>營業費用</x:v>
      </x:c>
      <x:c r="B8" s="2" t="str">
        <x:v>億元</x:v>
      </x:c>
      <x:c r="C8" s="11" t="n">
        <x:v>0.45</x:v>
      </x:c>
      <x:c r="D8" s="11" t="n">
        <x:v>0.6</x:v>
      </x:c>
      <x:c r="E8" s="11" t="n">
        <x:v>0.8</x:v>
      </x:c>
      <x:c r="F8" s="2" t="str">
        <x:v>Part 1.1</x:v>
      </x:c>
    </x:row>
    <x:row r="9" ht="24" customHeight="1">
      <x:c r="A9" s="2" t="str">
        <x:v>營業利益</x:v>
      </x:c>
      <x:c r="B9" s="2" t="str">
        <x:v>億元</x:v>
      </x:c>
      <x:c r="C9" s="11" t="n">
        <x:v>1.11</x:v>
      </x:c>
      <x:c r="D9" s="11" t="n">
        <x:v>2.39</x:v>
      </x:c>
      <x:c r="E9" s="11" t="n">
        <x:v>3.58</x:v>
      </x:c>
      <x:c r="F9" s="2" t="str">
        <x:v>Part 1.1</x:v>
      </x:c>
    </x:row>
    <x:row r="10" ht="24" customHeight="1">
      <x:c r="A10" s="2" t="str">
        <x:v>稅前淨利</x:v>
      </x:c>
      <x:c r="B10" s="2" t="str">
        <x:v>億元</x:v>
      </x:c>
      <x:c r="C10" s="11" t="n">
        <x:v>1.13</x:v>
      </x:c>
      <x:c r="D10" s="11" t="n">
        <x:v>2.44</x:v>
      </x:c>
      <x:c r="E10" s="11" t="n">
        <x:v>3.66</x:v>
      </x:c>
      <x:c r="F10" s="2" t="str">
        <x:v>Part 1.1</x:v>
      </x:c>
    </x:row>
    <x:row r="11" ht="24" customHeight="1">
      <x:c r="A11" s="2" t="str">
        <x:v>稅後淨利</x:v>
      </x:c>
      <x:c r="B11" s="2" t="str">
        <x:v>億元</x:v>
      </x:c>
      <x:c r="C11" s="11" t="n">
        <x:v>0.9</x:v>
      </x:c>
      <x:c r="D11" s="11" t="n">
        <x:v>1.95</x:v>
      </x:c>
      <x:c r="E11" s="11" t="n">
        <x:v>2.93</x:v>
      </x:c>
      <x:c r="F11" s="2" t="str">
        <x:v>Part 1.1</x:v>
      </x:c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24" customHeight="1">
      <x:c r="A14" s="2" t="str">
        <x:v>商業計畫</x:v>
      </x:c>
      <x:c r="B14" s="2"/>
      <x:c r="C14" s="2"/>
      <x:c r="D14" s="2"/>
      <x:c r="E14" s="2"/>
      <x:c r="F14" s="2"/>
    </x:row>
    <x:row r="15" ht="38" customHeight="1">
      <x:c r="A15" s="15" t="str">
        <x:v>https://davidyeh51.github.io/jin-neng-fu-strategy/</x:v>
      </x:c>
      <x:c r="B15" s="15"/>
      <x:c r="C15" s="15"/>
      <x:c r="D15" s="15"/>
      <x:c r="E15" s="15"/>
      <x:c r="F15" s="15"/>
    </x:row>
    <x:row r="16" ht="38" customHeight="1">
      <x:c r="A16" s="15" t="str">
        <x:v>《進能服事業部三年計畫v9》，依使用者稱南區事業；組織範圍待確認。</x:v>
      </x:c>
      <x:c r="B16" s="15"/>
      <x:c r="C16" s="15"/>
      <x:c r="D16" s="15"/>
      <x:c r="E16" s="15"/>
      <x:c r="F16" s="15"/>
    </x:row>
    <x:row r="17" ht="24" customHeight="1">
      <x:c r="A17" s="2"/>
      <x:c r="B17" s="2"/>
      <x:c r="C17" s="2"/>
      <x:c r="D17" s="2"/>
      <x:c r="E17" s="2"/>
      <x:c r="F17" s="2"/>
    </x:row>
    <x:row r="18" ht="24" customHeight="1">
      <x:c r="A18" s="2"/>
      <x:c r="B18" s="2"/>
      <x:c r="C18" s="2"/>
      <x:c r="D18" s="2"/>
      <x:c r="E18" s="2"/>
      <x:c r="F18" s="2"/>
    </x:row>
    <x:row r="19" ht="24" customHeight="1">
      <x:c r="A19" s="2" t="str">
        <x:v>系統動力學方法</x:v>
      </x:c>
      <x:c r="B19" s="2"/>
      <x:c r="C19" s="2"/>
      <x:c r="D19" s="2"/>
      <x:c r="E19" s="2"/>
      <x:c r="F19" s="2"/>
    </x:row>
    <x:row r="20" ht="38" customHeight="1">
      <x:c r="A20" s="15" t="str">
        <x:v>https://onlinelibrary.wiley.com/doi/10.1002/sdr.1762</x:v>
      </x:c>
      <x:c r="B20" s="15"/>
      <x:c r="C20" s="15"/>
      <x:c r="D20" s="15"/>
      <x:c r="E20" s="15"/>
      <x:c r="F20" s="15"/>
    </x:row>
    <x:row r="21" ht="38" customHeight="1">
      <x:c r="A21" s="15" t="str">
        <x:v>Naugle等，2024：以存量流量方程與回饋研究動態。此處採年度離散近似。</x:v>
      </x:c>
      <x:c r="B21" s="15"/>
      <x:c r="C21" s="15"/>
      <x:c r="D21" s="15"/>
      <x:c r="E21" s="15"/>
      <x:c r="F21" s="15"/>
    </x:row>
    <x:row r="22" ht="24" customHeight="1">
      <x:c r="A22" s="2"/>
      <x:c r="B22" s="2"/>
      <x:c r="C22" s="2"/>
      <x:c r="D22" s="2"/>
      <x:c r="E22" s="2"/>
      <x:c r="F22" s="2"/>
    </x:row>
    <x:row r="23" ht="38" customHeight="1">
      <x:c r="A23" s="15" t="str">
        <x:v>https://doi.org/10.1002/sdr.1641</x:v>
      </x:c>
      <x:c r="B23" s="15"/>
      <x:c r="C23" s="15"/>
      <x:c r="D23" s="15"/>
      <x:c r="E23" s="15"/>
      <x:c r="F23" s="15"/>
    </x:row>
    <x:row r="24" ht="38" customHeight="1">
      <x:c r="A24" s="15" t="str">
        <x:v>Ford，2019，系統動力學字彙：存量、流量、回饋及延遲。方法來源不提供公司參數。</x:v>
      </x:c>
      <x:c r="B24" s="15"/>
      <x:c r="C24" s="15"/>
      <x:c r="D24" s="15"/>
      <x:c r="E24" s="15"/>
      <x:c r="F24" s="15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43" customHeight="1">
      <x:c r="A27" s="15" t="str">
        <x:v>FY28–29案源補充量以20%／30%／50%簽約結構校準26／32億目標，並扣除前期案源留存；不是網站已提供的分軌計畫。</x:v>
      </x:c>
      <x:c r="B27" s="15"/>
      <x:c r="C27" s="15"/>
      <x:c r="D27" s="15"/>
      <x:c r="E27" s="15"/>
      <x:c r="F27" s="15"/>
    </x:row>
    <x:row r="28" ht="24" customHeight="1">
      <x:c r="A28" s="2"/>
      <x:c r="B28" s="2"/>
      <x:c r="C28" s="2"/>
      <x:c r="D28" s="2"/>
      <x:c r="E28" s="2"/>
      <x:c r="F28" s="2"/>
    </x:row>
    <x:row r="29" ht="43" customHeight="1">
      <x:c r="A29" s="15" t="str">
        <x:v>OU容量暫以原營收代理；AIDC期初50%釋放為新增假設。因此後兩年模型營收不強行對齊19與27.8億。</x:v>
      </x:c>
      <x:c r="B29" s="15"/>
      <x:c r="C29" s="15"/>
      <x:c r="D29" s="15"/>
      <x:c r="E29" s="15"/>
      <x:c r="F29" s="15"/>
    </x:row>
    <x:row r="30" ht="24" customHeight="1">
      <x:c r="A30" s="2"/>
      <x:c r="B30" s="2"/>
      <x:c r="C30" s="2"/>
      <x:c r="D30" s="2"/>
      <x:c r="E30" s="2"/>
      <x:c r="F30" s="2"/>
    </x:row>
    <x:row r="31" ht="43" customHeight="1">
      <x:c r="A31" s="15" t="str">
        <x:v>年度交付按可交付比例分配；未建置逐案／逐月施工、預付款、保留款、資本支出與完整三表。</x:v>
      </x:c>
      <x:c r="B31" s="15"/>
      <x:c r="C31" s="15"/>
      <x:c r="D31" s="15"/>
      <x:c r="E31" s="15"/>
      <x:c r="F31" s="15"/>
    </x:row>
    <x:row r="32" ht="24" customHeight="1">
      <x:c r="A32" s="2"/>
      <x:c r="B32" s="2"/>
      <x:c r="C32" s="2"/>
      <x:c r="D32" s="2"/>
      <x:c r="E32" s="2"/>
      <x:c r="F32" s="2"/>
    </x:row>
    <x:row r="33" ht="43" customHeight="1">
      <x:c r="A33" s="15" t="str">
        <x:v>資金池以保留盈餘近似、次年生效，需依實際現金轉換校正；不可當作銀行現金餘額。</x:v>
      </x:c>
      <x:c r="B33" s="15"/>
      <x:c r="C33" s="15"/>
      <x:c r="D33" s="15"/>
      <x:c r="E33" s="15"/>
      <x:c r="F33" s="15"/>
    </x:row>
    <x:row r="34" ht="24" customHeight="1">
      <x:c r="A34" s="2"/>
      <x:c r="B34" s="2"/>
      <x:c r="C34" s="2"/>
      <x:c r="D34" s="2"/>
      <x:c r="E34" s="2"/>
      <x:c r="F34" s="2"/>
    </x:row>
    <x:row r="35" ht="43" customHeight="1">
      <x:c r="A35" s="15" t="str">
        <x:v>AIDC保留率是計畫金額縮減，非統計勝率；少數大案應測試整筆退出。</x:v>
      </x:c>
      <x:c r="B35" s="15"/>
      <x:c r="C35" s="15"/>
      <x:c r="D35" s="15"/>
      <x:c r="E35" s="15"/>
      <x:c r="F35" s="15"/>
    </x:row>
    <x:row r="36" ht="24" customHeight="1">
      <x:c r="A36" s="2"/>
      <x:c r="B36" s="2"/>
      <x:c r="C36" s="2"/>
      <x:c r="D36" s="2"/>
      <x:c r="E36" s="2"/>
      <x:c r="F36" s="2"/>
    </x:row>
    <x:row r="37" ht="43" customHeight="1">
      <x:c r="A37" s="15" t="str">
        <x:v>低高端點是管理測試，非歷史估計或置信區間；未使用網站未查核的同業獲利數字。</x:v>
      </x:c>
      <x:c r="B37" s="15"/>
      <x:c r="C37" s="15"/>
      <x:c r="D37" s="15"/>
      <x:c r="E37" s="15"/>
      <x:c r="F37" s="15"/>
    </x:row>
    <x:row r="38" ht="24" customHeight="1">
      <x:c r="A38" s="2"/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</x:sheetData>
  <x:mergeCells>
    <x:mergeCell ref="A15:F15"/>
    <x:mergeCell ref="A16:F16"/>
    <x:mergeCell ref="A20:F20"/>
    <x:mergeCell ref="A21:F21"/>
    <x:mergeCell ref="A23:F23"/>
    <x:mergeCell ref="A24:F24"/>
    <x:mergeCell ref="A27:F27"/>
    <x:mergeCell ref="A29:F29"/>
    <x:mergeCell ref="A31:F31"/>
    <x:mergeCell ref="A33:F33"/>
    <x:mergeCell ref="A35:F35"/>
    <x:mergeCell ref="A37:F37"/>
  </x:mergeCells>
  <x:pageMargins left="0.7" right="0.7" top="0.75" bottom="0.75" header="0.3" footer="0.3"/>
</x:worksheet>
</file>